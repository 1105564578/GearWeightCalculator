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造裝用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<sst xmlns="http://schemas.openxmlformats.org/spreadsheetml/2006/main" count="56" uniqueCount="56">
  <si>
    <t>裝備屬性計算</t>
  </si>
  <si>
    <t>攻速計算</t>
  </si>
  <si>
    <t>獵人名稱</t>
  </si>
  <si>
    <t>屬性</t>
  </si>
  <si>
    <t>武器攻速</t>
  </si>
  <si>
    <t xml:space="preserve">狂戰原始/PVP：2／2.2 </t>
  </si>
  <si>
    <t>法原始/PVP：2.2／2.3</t>
  </si>
  <si>
    <t>騎原始／PVP：2.4／2.5</t>
  </si>
  <si>
    <t>弓原始／PVP: 1.8／2</t>
  </si>
  <si>
    <t>攻</t>
  </si>
  <si>
    <t>防</t>
  </si>
  <si>
    <t>致</t>
  </si>
  <si>
    <t>速</t>
  </si>
  <si>
    <t>閃</t>
  </si>
  <si>
    <t>體</t>
  </si>
  <si>
    <t>飢餓</t>
  </si>
  <si>
    <t>暴擊量</t>
  </si>
  <si>
    <t>靈長</t>
  </si>
  <si>
    <t>BOSS</t>
  </si>
  <si>
    <t>吸血</t>
  </si>
  <si>
    <t>減傷25%</t>
  </si>
  <si>
    <t>心情</t>
  </si>
  <si>
    <t>精力</t>
  </si>
  <si>
    <t>惡魔</t>
  </si>
  <si>
    <t>動物</t>
  </si>
  <si>
    <t>不死</t>
  </si>
  <si>
    <t>材料</t>
  </si>
  <si>
    <t>金幣</t>
  </si>
  <si>
    <t>經驗</t>
  </si>
  <si>
    <t>性格</t>
  </si>
  <si>
    <t xml:space="preserve">快手：10 </t>
  </si>
  <si>
    <t>英雄心態：7</t>
  </si>
  <si>
    <t>其他：0</t>
  </si>
  <si>
    <t>裝備</t>
  </si>
  <si>
    <t>武</t>
  </si>
  <si>
    <t>屬性係數</t>
  </si>
  <si>
    <t>紫屬30</t>
  </si>
  <si>
    <t>橙屬20</t>
  </si>
  <si>
    <t>藍屬10</t>
  </si>
  <si>
    <t>頭</t>
  </si>
  <si>
    <t>公會</t>
  </si>
  <si>
    <t>甲</t>
  </si>
  <si>
    <t>秘法</t>
  </si>
  <si>
    <t>手</t>
  </si>
  <si>
    <t>裝備加成</t>
  </si>
  <si>
    <t>鞋</t>
  </si>
  <si>
    <t>符文加成</t>
  </si>
  <si>
    <t>鏈</t>
  </si>
  <si>
    <t>閃電</t>
  </si>
  <si>
    <t>閃電0級填1</t>
  </si>
  <si>
    <t>閃電1級填1.1</t>
  </si>
  <si>
    <t>如此類推</t>
  </si>
  <si>
    <t>戒</t>
  </si>
  <si>
    <t>最終攻速</t>
  </si>
  <si>
    <t>腰</t>
  </si>
  <si>
    <t>總數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</si>
</sst>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6"/>
      <scheme val="minor"/>
    </font>
    <font>
      <sz val="12"/>
      <color rgb="FF333333"/>
      <name val="等线"/>
      <charset val="136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AB7FB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10" borderId="1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4" borderId="16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18" borderId="19" applyNumberFormat="0" applyAlignment="0" applyProtection="0">
      <alignment vertical="center"/>
    </xf>
    <xf numFmtId="0" fontId="16" fillId="18" borderId="15" applyNumberFormat="0" applyAlignment="0" applyProtection="0">
      <alignment vertical="center"/>
    </xf>
    <xf numFmtId="0" fontId="17" fillId="19" borderId="20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7" xfId="0" applyBorder="1">
      <alignment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1" fillId="4" borderId="6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6" borderId="0" xfId="0" applyFill="1">
      <alignment vertical="center"/>
    </xf>
    <xf numFmtId="0" fontId="0" fillId="9" borderId="0" xfId="0" applyFill="1">
      <alignment vertical="center"/>
    </xf>
    <xf numFmtId="0" fontId="0" fillId="0" borderId="12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AB7FB"/>
      <color rgb="00B499F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tabSelected="1" topLeftCell="K1" workbookViewId="0">
      <selection activeCell="Z8" sqref="Z8"/>
    </sheetView>
  </sheetViews>
  <sheetFormatPr defaultColWidth="9" defaultRowHeight="15.75"/>
  <cols>
    <col min="3" max="3" width="3.81666666666667" customWidth="1"/>
    <col min="4" max="4" width="4.26666666666667" customWidth="1"/>
    <col min="5" max="5" width="4.18333333333333" customWidth="1"/>
    <col min="6" max="7" width="4.26666666666667" customWidth="1"/>
    <col min="8" max="8" width="3.90833333333333" customWidth="1"/>
    <col min="9" max="9" width="5.54166666666667" customWidth="1"/>
    <col min="10" max="10" width="7" customWidth="1"/>
    <col min="11" max="11" width="5.81666666666667" customWidth="1"/>
    <col min="12" max="12" width="6.36666666666667" customWidth="1"/>
    <col min="13" max="13" width="5.45" customWidth="1"/>
    <col min="14" max="14" width="8.81666666666667" customWidth="1"/>
    <col min="15" max="15" width="5.54166666666667" customWidth="1"/>
    <col min="16" max="16" width="5.45" customWidth="1"/>
    <col min="17" max="18" width="5.54166666666667" customWidth="1"/>
    <col min="19" max="19" width="5.725" customWidth="1"/>
    <col min="20" max="20" width="5.54166666666667" customWidth="1"/>
    <col min="21" max="21" width="6" customWidth="1"/>
    <col min="22" max="22" width="6.18333333333333" customWidth="1"/>
    <col min="26" max="26" width="11" customWidth="1"/>
    <col min="27" max="27" width="12" customWidth="1"/>
    <col min="29" max="29" width="11.3666666666667" customWidth="1"/>
    <col min="31" max="31" width="12.3666666666667" customWidth="1"/>
    <col min="33" max="33" width="9.45" customWidth="1"/>
  </cols>
  <sheetData>
    <row r="1" spans="1:24">
      <c r="A1" t="s">
        <v>0</v>
      </c>
      <c r="X1" t="s">
        <v>1</v>
      </c>
    </row>
    <row r="3" spans="1:33">
      <c r="A3" s="1" t="s">
        <v>2</v>
      </c>
      <c r="B3" s="2"/>
      <c r="C3" s="3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4"/>
      <c r="X3" s="15" t="s">
        <v>4</v>
      </c>
      <c r="Y3" s="20">
        <v>2.5</v>
      </c>
      <c r="Z3" s="21" t="s">
        <v>5</v>
      </c>
      <c r="AA3" s="21"/>
      <c r="AB3" s="22" t="s">
        <v>6</v>
      </c>
      <c r="AC3" s="22"/>
      <c r="AD3" s="21" t="s">
        <v>7</v>
      </c>
      <c r="AE3" s="21"/>
      <c r="AF3" s="22" t="s">
        <v>8</v>
      </c>
      <c r="AG3" s="22"/>
    </row>
    <row r="4" spans="1:28">
      <c r="A4" s="5"/>
      <c r="B4" s="6"/>
      <c r="C4" s="3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13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14" t="s">
        <v>28</v>
      </c>
      <c r="X4" s="16" t="s">
        <v>29</v>
      </c>
      <c r="Y4" s="23">
        <v>10</v>
      </c>
      <c r="Z4" s="24" t="s">
        <v>30</v>
      </c>
      <c r="AA4" s="25" t="s">
        <v>31</v>
      </c>
      <c r="AB4" s="26" t="s">
        <v>32</v>
      </c>
    </row>
    <row r="5" spans="1:28">
      <c r="A5" s="7" t="s">
        <v>33</v>
      </c>
      <c r="B5" s="7" t="s">
        <v>34</v>
      </c>
      <c r="C5" s="1">
        <v>23</v>
      </c>
      <c r="D5" s="8"/>
      <c r="E5" s="8"/>
      <c r="F5" s="8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2"/>
      <c r="X5" s="16" t="s">
        <v>35</v>
      </c>
      <c r="Y5" s="23">
        <v>30</v>
      </c>
      <c r="Z5" s="27" t="s">
        <v>36</v>
      </c>
      <c r="AA5" s="28" t="s">
        <v>37</v>
      </c>
      <c r="AB5" s="29" t="s">
        <v>38</v>
      </c>
    </row>
    <row r="6" spans="1:25">
      <c r="A6" s="9"/>
      <c r="B6" s="9" t="s">
        <v>39</v>
      </c>
      <c r="C6" s="10">
        <v>20</v>
      </c>
      <c r="D6" s="11"/>
      <c r="E6" s="11"/>
      <c r="F6" s="11">
        <v>15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7"/>
      <c r="X6" s="16" t="s">
        <v>40</v>
      </c>
      <c r="Y6" s="23">
        <v>5</v>
      </c>
    </row>
    <row r="7" spans="1:25">
      <c r="A7" s="9"/>
      <c r="B7" s="9" t="s">
        <v>41</v>
      </c>
      <c r="C7" s="10">
        <v>15</v>
      </c>
      <c r="D7" s="11"/>
      <c r="E7" s="11"/>
      <c r="F7" s="11">
        <v>8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7"/>
      <c r="X7" s="16" t="s">
        <v>42</v>
      </c>
      <c r="Y7" s="23">
        <v>10</v>
      </c>
    </row>
    <row r="8" spans="1:25">
      <c r="A8" s="9"/>
      <c r="B8" s="9" t="s">
        <v>43</v>
      </c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7"/>
      <c r="X8" s="16" t="s">
        <v>44</v>
      </c>
      <c r="Y8" s="23">
        <v>30</v>
      </c>
    </row>
    <row r="9" spans="1:25">
      <c r="A9" s="9"/>
      <c r="B9" s="9" t="s">
        <v>45</v>
      </c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7"/>
      <c r="X9" s="16" t="s">
        <v>46</v>
      </c>
      <c r="Y9" s="23">
        <v>6</v>
      </c>
    </row>
    <row r="10" spans="1:28">
      <c r="A10" s="9"/>
      <c r="B10" s="9" t="s">
        <v>47</v>
      </c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7"/>
      <c r="X10" s="18" t="s">
        <v>48</v>
      </c>
      <c r="Y10" s="23">
        <v>1</v>
      </c>
      <c r="Z10" s="30" t="s">
        <v>49</v>
      </c>
      <c r="AA10" s="31" t="s">
        <v>50</v>
      </c>
      <c r="AB10" t="s">
        <v>51</v>
      </c>
    </row>
    <row r="11" spans="1:25">
      <c r="A11" s="9"/>
      <c r="B11" s="9" t="s">
        <v>52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7"/>
      <c r="X11" s="19" t="s">
        <v>53</v>
      </c>
      <c r="Y11" s="32">
        <f>(Y3*(1-(SUM(Y4:Y9)/100)))/Y10</f>
        <v>0.225</v>
      </c>
    </row>
    <row r="12" spans="1:22">
      <c r="A12" s="12"/>
      <c r="B12" s="12" t="s">
        <v>54</v>
      </c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7"/>
    </row>
    <row r="13" spans="1:22">
      <c r="A13" s="3" t="s">
        <v>55</v>
      </c>
      <c r="B13" s="4"/>
      <c r="C13" s="3">
        <f>SUM(C5:C12)</f>
        <v>58</v>
      </c>
      <c r="D13" s="4">
        <f t="shared" ref="D13:V13" si="0">SUM(D5:D12)</f>
        <v>0</v>
      </c>
      <c r="E13" s="4">
        <f t="shared" si="0"/>
        <v>0</v>
      </c>
      <c r="F13" s="4">
        <f t="shared" si="0"/>
        <v>38</v>
      </c>
      <c r="G13" s="4">
        <f t="shared" si="0"/>
        <v>0</v>
      </c>
      <c r="H13" s="4">
        <f t="shared" si="0"/>
        <v>0</v>
      </c>
      <c r="I13" s="4">
        <f t="shared" si="0"/>
        <v>0</v>
      </c>
      <c r="J13" s="4">
        <f t="shared" si="0"/>
        <v>0</v>
      </c>
      <c r="K13" s="4">
        <f t="shared" si="0"/>
        <v>0</v>
      </c>
      <c r="L13" s="4">
        <f t="shared" si="0"/>
        <v>0</v>
      </c>
      <c r="M13" s="4">
        <f t="shared" si="0"/>
        <v>0</v>
      </c>
      <c r="N13" s="4">
        <f t="shared" si="0"/>
        <v>0</v>
      </c>
      <c r="O13" s="4">
        <f t="shared" si="0"/>
        <v>0</v>
      </c>
      <c r="P13" s="4">
        <f t="shared" si="0"/>
        <v>0</v>
      </c>
      <c r="Q13" s="4">
        <f t="shared" si="0"/>
        <v>0</v>
      </c>
      <c r="R13" s="4">
        <f t="shared" si="0"/>
        <v>0</v>
      </c>
      <c r="S13" s="4">
        <f t="shared" si="0"/>
        <v>0</v>
      </c>
      <c r="T13" s="4">
        <f t="shared" si="0"/>
        <v>0</v>
      </c>
      <c r="U13" s="4">
        <f t="shared" si="0"/>
        <v>0</v>
      </c>
      <c r="V13" s="14">
        <f t="shared" si="0"/>
        <v>0</v>
      </c>
    </row>
  </sheetData>
  <mergeCells count="8">
    <mergeCell ref="C3:V3"/>
    <mergeCell ref="Z3:AA3"/>
    <mergeCell ref="AB3:AC3"/>
    <mergeCell ref="AD3:AE3"/>
    <mergeCell ref="AF3:AG3"/>
    <mergeCell ref="A13:B13"/>
    <mergeCell ref="A5:A12"/>
    <mergeCell ref="A3:B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8" sqref="K18"/>
    </sheetView>
  </sheetViews>
  <sheetFormatPr defaultColWidth="9" defaultRowHeight="15.75"/>
  <cols>
    <col min="1" max="1" width="26.5" customWidth="1"/>
  </cols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F040703-1CA2-436A-8664-2A384996F9E9}">
  <ds:schemaRefs/>
</ds:datastoreItem>
</file>

<file path=customXml/itemProps2.xml><?xml version="1.0" encoding="utf-8"?>
<ds:datastoreItem xmlns:ds="http://schemas.openxmlformats.org/officeDocument/2006/customXml" ds:itemID="{3E6C3D98-399F-4EBC-A1BF-7103FB223893}">
  <ds:schemaRefs/>
</ds:datastoreItem>
</file>

<file path=customXml/itemProps3.xml><?xml version="1.0" encoding="utf-8"?>
<ds:datastoreItem xmlns:ds="http://schemas.openxmlformats.org/officeDocument/2006/customXml" ds:itemID="{9C3F20C6-E58E-4896-AAB6-10B7A76855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造裝用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hch20</cp:lastModifiedBy>
  <dcterms:created xsi:type="dcterms:W3CDTF">2021-02-05T02:26:00Z</dcterms:created>
  <dcterms:modified xsi:type="dcterms:W3CDTF">2023-02-13T07:08:30Z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0x010100FA907CF2A7F56240885E69A3C61FB2E2</vt:lpwstr>
  </property>
  <property fmtid="{D5CDD505-2E9C-101B-9397-08002B2CF9AE}" pid="3" name="ICV">
    <vt:lpwstr>FA8FC5CEBFB94646A0759889F98832E9</vt:lpwstr>
  </property>
  <property fmtid="{D5CDD505-2E9C-101B-9397-08002B2CF9AE}" pid="4" name="KSOProductBuildVer">
    <vt:lpwstr>2052-11.1.0.13703</vt:lpwstr>
  </property>
</Properties>
</file>