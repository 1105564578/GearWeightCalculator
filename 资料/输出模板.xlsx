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输出计算（模板）" sheetId="1" r:id="rId1"/>
  </sheets>
  <definedNames>
    <definedName name="solver_opt" localSheetId="0" hidden="1">'输出计算（模板）'!$I$42</definedName>
    <definedName name="solver_typ" localSheetId="0" hidden="1">1</definedName>
    <definedName name="solver_val" localSheetId="0" hidden="1">0</definedName>
    <definedName name="solver_adj" localSheetId="0" hidden="1">'输出计算（模板）'!$C$42:$E$42</definedName>
    <definedName name="solver_neg" localSheetId="0" hidden="1">1</definedName>
    <definedName name="solver_num" localSheetId="0" hidden="1">10</definedName>
    <definedName name="solver_lin" localSheetId="0" hidden="1">0</definedName>
    <definedName name="solver_eng" localSheetId="0" hidden="1">1</definedName>
    <definedName name="solver_ver" localSheetId="0" hidden="1">3</definedName>
    <definedName name="solver_lhs1" localSheetId="0" hidden="1">'输出计算（模板）'!$C$42</definedName>
    <definedName name="solver_rel1" localSheetId="0" hidden="1">1</definedName>
    <definedName name="solver_rhs1" localSheetId="0" hidden="1">7</definedName>
    <definedName name="solver_lhs2" localSheetId="0" hidden="1">'输出计算（模板）'!$C$42</definedName>
    <definedName name="solver_rel2" localSheetId="0" hidden="1">3</definedName>
    <definedName name="solver_rhs2" localSheetId="0" hidden="1">0</definedName>
    <definedName name="solver_lhs3" localSheetId="0" hidden="1">'输出计算（模板）'!$C$42</definedName>
    <definedName name="solver_rel3" localSheetId="0" hidden="1">4</definedName>
    <definedName name="solver_rhs3" localSheetId="0" hidden="1">0</definedName>
    <definedName name="solver_lhs4" localSheetId="0" hidden="1">'输出计算（模板）'!$D$42</definedName>
    <definedName name="solver_rel4" localSheetId="0" hidden="1">1</definedName>
    <definedName name="solver_rhs4" localSheetId="0" hidden="1">7</definedName>
    <definedName name="solver_lhs5" localSheetId="0" hidden="1">'输出计算（模板）'!$D$42</definedName>
    <definedName name="solver_rel5" localSheetId="0" hidden="1">3</definedName>
    <definedName name="solver_rhs5" localSheetId="0" hidden="1">0</definedName>
    <definedName name="solver_lhs6" localSheetId="0" hidden="1">'输出计算（模板）'!$D$42</definedName>
    <definedName name="solver_rel6" localSheetId="0" hidden="1">4</definedName>
    <definedName name="solver_rhs6" localSheetId="0" hidden="1">0</definedName>
    <definedName name="solver_pre" localSheetId="0" hidden="1">0.000001</definedName>
    <definedName name="solver_itr" localSheetId="0" hidden="1">0</definedName>
    <definedName name="solver_tim" localSheetId="0" hidden="1">0</definedName>
    <definedName name="solver_tol" localSheetId="0" hidden="1">0.01</definedName>
    <definedName name="solver_sho" localSheetId="0" hidden="1">0</definedName>
    <definedName name="solver_rlx" localSheetId="0" hidden="1">0</definedName>
    <definedName name="solver_nod" localSheetId="0" hidden="1">0</definedName>
    <definedName name="solver_mip" localSheetId="0" hidden="1">0</definedName>
    <definedName name="solver_scl" localSheetId="0" hidden="1">1</definedName>
    <definedName name="solver_cvg" localSheetId="0" hidden="1">0.0001</definedName>
    <definedName name="solver_drv" localSheetId="0" hidden="1">1</definedName>
    <definedName name="solver_msl" localSheetId="0" hidden="1">0</definedName>
    <definedName name="solver_ssz" localSheetId="0" hidden="1">100</definedName>
    <definedName name="solver_rsd" localSheetId="0" hidden="1">0</definedName>
    <definedName name="solver_rbv" localSheetId="0" hidden="1">1</definedName>
    <definedName name="solver_lhs7" localSheetId="0" hidden="1">'输出计算（模板）'!$E$42</definedName>
    <definedName name="solver_rel7" localSheetId="0" hidden="1">1</definedName>
    <definedName name="solver_rhs7" localSheetId="0" hidden="1">7</definedName>
    <definedName name="solver_lhs8" localSheetId="0" hidden="1">'输出计算（模板）'!$E$42</definedName>
    <definedName name="solver_rel8" localSheetId="0" hidden="1">3</definedName>
    <definedName name="solver_rhs8" localSheetId="0" hidden="1">0</definedName>
    <definedName name="solver_lhs9" localSheetId="0" hidden="1">'输出计算（模板）'!$E$42</definedName>
    <definedName name="solver_rel9" localSheetId="0" hidden="1">4</definedName>
    <definedName name="solver_rhs9" localSheetId="0" hidden="1">0</definedName>
    <definedName name="solver_lhs10" localSheetId="0" hidden="1">'输出计算（模板）'!$I$49</definedName>
    <definedName name="solver_rel10" localSheetId="0" hidden="1">2</definedName>
    <definedName name="solver_rhs10" localSheetId="0" hidden="1">'输出计算（模板）'!$N$62</definedName>
  </definedNames>
  <calcPr calcId="144525"/>
</workbook>
</file>

<file path=xl/comments1.xml><?xml version="1.0" encoding="utf-8"?>
<comments xmlns="http://schemas.openxmlformats.org/spreadsheetml/2006/main">
  <authors>
    <author>工作室</author>
    <author>barry</author>
  </authors>
  <commentList>
    <comment ref="D4" authorId="0">
      <text>
        <r>
          <rPr>
            <sz val="9"/>
            <color indexed="81"/>
            <rFont val="宋体"/>
            <charset val="134"/>
          </rPr>
          <t xml:space="preserve">选择测试职业
</t>
        </r>
      </text>
    </comment>
    <comment ref="D14" authorId="0">
      <text>
        <r>
          <rPr>
            <sz val="9"/>
            <color indexed="81"/>
            <rFont val="宋体"/>
            <charset val="134"/>
          </rPr>
          <t xml:space="preserve">传男：
选择装备品级，中级为1，高级为1.1，最上级为1.2
</t>
        </r>
      </text>
    </comment>
    <comment ref="H15" authorId="0">
      <text>
        <r>
          <rPr>
            <sz val="9"/>
            <color indexed="81"/>
            <rFont val="宋体"/>
            <charset val="134"/>
          </rPr>
          <t xml:space="preserve">选择备选套数
</t>
        </r>
      </text>
    </comment>
    <comment ref="AC15" authorId="0">
      <text>
        <r>
          <rPr>
            <sz val="9"/>
            <color indexed="81"/>
            <rFont val="宋体"/>
            <charset val="134"/>
          </rPr>
          <t xml:space="preserve">除战士外，支持不同职业横向对比。
</t>
        </r>
      </text>
    </comment>
    <comment ref="D16" authorId="0">
      <text>
        <r>
          <rPr>
            <sz val="9"/>
            <color indexed="81"/>
            <rFont val="宋体"/>
            <charset val="134"/>
          </rPr>
          <t xml:space="preserve">已参与计算
</t>
        </r>
      </text>
    </comment>
    <comment ref="H17" authorId="0">
      <text>
        <r>
          <rPr>
            <sz val="9"/>
            <color indexed="81"/>
            <rFont val="宋体"/>
            <charset val="134"/>
          </rPr>
          <t xml:space="preserve">准备待选区
</t>
        </r>
      </text>
    </comment>
    <comment ref="D23" authorId="0">
      <text>
        <r>
          <rPr>
            <sz val="9"/>
            <color indexed="81"/>
            <rFont val="宋体"/>
            <charset val="134"/>
          </rPr>
          <t xml:space="preserve">选择你想根据的数值：
最大值为词条最大值，
平均值为装备表内的平均值。
中位数为词条的中位值</t>
        </r>
      </text>
    </comment>
    <comment ref="H26" authorId="0">
      <text>
        <r>
          <rPr>
            <sz val="9"/>
            <color indexed="81"/>
            <rFont val="宋体"/>
            <charset val="134"/>
          </rPr>
          <t xml:space="preserve">武器特殊词条：
追伤 与 破防</t>
        </r>
      </text>
    </comment>
    <comment ref="D30" authorId="0">
      <text>
        <r>
          <rPr>
            <sz val="9"/>
            <color indexed="81"/>
            <rFont val="宋体"/>
            <charset val="134"/>
          </rPr>
          <t xml:space="preserve">传男:
平均每件多少有效词条x 7-武器固有词条。
也可以直接输入有效词条数</t>
        </r>
      </text>
    </comment>
    <comment ref="D33" authorId="1">
      <text>
        <r>
          <rPr>
            <sz val="9"/>
            <color indexed="81"/>
            <rFont val="宋体"/>
            <charset val="134"/>
          </rPr>
          <t xml:space="preserve">除攻速，攻击，暴击，爆伤，灵长 外的词条
</t>
        </r>
      </text>
    </comment>
    <comment ref="M36" authorId="0">
      <text>
        <r>
          <rPr>
            <sz val="9"/>
            <color indexed="81"/>
            <rFont val="宋体"/>
            <charset val="134"/>
          </rPr>
          <t xml:space="preserve">由于总输出与词条属性值有关系，表中数值与实际会有比较大的出入，有技术的同学可以用excel中的【规划求解】工具求目标最优解。
</t>
        </r>
      </text>
    </comment>
    <comment ref="N38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  <comment ref="S38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  <comment ref="B42" authorId="0">
      <text>
        <r>
          <rPr>
            <sz val="9"/>
            <color indexed="81"/>
            <rFont val="宋体"/>
            <charset val="134"/>
          </rPr>
          <t xml:space="preserve">此处会自动匹配装备表格
</t>
        </r>
      </text>
    </comment>
    <comment ref="B43" authorId="0">
      <text>
        <r>
          <rPr>
            <sz val="9"/>
            <color indexed="81"/>
            <rFont val="宋体"/>
            <charset val="134"/>
          </rPr>
          <t xml:space="preserve">自己输入想测试的词条数
</t>
        </r>
      </text>
    </comment>
    <comment ref="D47" authorId="0">
      <text>
        <r>
          <rPr>
            <sz val="9"/>
            <color indexed="81"/>
            <rFont val="宋体"/>
            <charset val="134"/>
          </rPr>
          <t xml:space="preserve">传男：
武器特效触发概率
</t>
        </r>
      </text>
    </comment>
    <comment ref="N51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  <comment ref="S51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  <comment ref="N60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  <comment ref="S60" authorId="0">
      <text>
        <r>
          <rPr>
            <sz val="9"/>
            <color indexed="81"/>
            <rFont val="宋体"/>
            <charset val="134"/>
          </rPr>
          <t xml:space="preserve">传男:
可分自由配点数</t>
        </r>
      </text>
    </comment>
  </commentList>
</comments>
</file>

<file path=xl/sharedStrings.xml><?xml version="1.0" encoding="utf-8"?>
<sst xmlns="http://schemas.openxmlformats.org/spreadsheetml/2006/main" count="111">
  <si>
    <t>输出计算 2.6.2</t>
  </si>
  <si>
    <t>基本属性</t>
  </si>
  <si>
    <t>装备属性细项</t>
  </si>
  <si>
    <t>职业</t>
  </si>
  <si>
    <t>射手</t>
  </si>
  <si>
    <r>
      <rPr>
        <b/>
        <sz val="11"/>
        <color rgb="FF000000"/>
        <rFont val="宋体"/>
        <charset val="134"/>
      </rPr>
      <t>说明：
①</t>
    </r>
    <r>
      <rPr>
        <b/>
        <sz val="11"/>
        <color rgb="FFFF0000"/>
        <rFont val="宋体"/>
        <charset val="134"/>
      </rPr>
      <t>红色</t>
    </r>
    <r>
      <rPr>
        <b/>
        <sz val="11"/>
        <color rgb="FF000000"/>
        <rFont val="宋体"/>
        <charset val="134"/>
      </rPr>
      <t>字处选择或填写所需项目，基本属性中基本能自动变换。        ②一些注意事项已用备注模式表明。        ③建议复制工作表再填写</t>
    </r>
  </si>
  <si>
    <t>装备计算区</t>
  </si>
  <si>
    <t>衣服</t>
  </si>
  <si>
    <t>护手</t>
  </si>
  <si>
    <t>鞋子</t>
  </si>
  <si>
    <t>头盔</t>
  </si>
  <si>
    <t>武器</t>
  </si>
  <si>
    <t>项链</t>
  </si>
  <si>
    <t>戒指</t>
  </si>
  <si>
    <t>计数</t>
  </si>
  <si>
    <t>装备属性</t>
  </si>
  <si>
    <t>秘法</t>
  </si>
  <si>
    <t>公会</t>
  </si>
  <si>
    <t>时装</t>
  </si>
  <si>
    <t>性格</t>
  </si>
  <si>
    <t>颜色</t>
  </si>
  <si>
    <t>符文</t>
  </si>
  <si>
    <t>技能</t>
  </si>
  <si>
    <t>品级</t>
  </si>
  <si>
    <t>武等</t>
  </si>
  <si>
    <t>初始值</t>
  </si>
  <si>
    <t>基础</t>
  </si>
  <si>
    <t>总和</t>
  </si>
  <si>
    <t>职业攻击基数</t>
  </si>
  <si>
    <t>攻速</t>
  </si>
  <si>
    <t>职业攻速基数</t>
  </si>
  <si>
    <t>攻击</t>
  </si>
  <si>
    <t>职业技能1</t>
  </si>
  <si>
    <t>暴击</t>
  </si>
  <si>
    <t>职业技能2</t>
  </si>
  <si>
    <t>爆伤</t>
  </si>
  <si>
    <t>职业基础闪避</t>
  </si>
  <si>
    <t>灵长&amp;破防</t>
  </si>
  <si>
    <t>职业基础暴击</t>
  </si>
  <si>
    <t>闪避</t>
  </si>
  <si>
    <t>武器等级</t>
  </si>
  <si>
    <t>防御</t>
  </si>
  <si>
    <t>武器攻击基数</t>
  </si>
  <si>
    <t>减伤</t>
  </si>
  <si>
    <t>武器攻速</t>
  </si>
  <si>
    <t>追伤</t>
  </si>
  <si>
    <t>武器品级</t>
  </si>
  <si>
    <t>特征</t>
  </si>
  <si>
    <t>攻速特征</t>
  </si>
  <si>
    <t>装备选择</t>
  </si>
  <si>
    <t>搭配总输出</t>
  </si>
  <si>
    <t>双击特征</t>
  </si>
  <si>
    <t>⬆️选择第几套</t>
  </si>
  <si>
    <t>装备待选区</t>
  </si>
  <si>
    <t>武器选择</t>
  </si>
  <si>
    <t>面板攻速</t>
  </si>
  <si>
    <t>攻速差值</t>
  </si>
  <si>
    <t>←还差多少</t>
  </si>
  <si>
    <t>⬅️在这里填装备属性</t>
  </si>
  <si>
    <t>词条配置</t>
  </si>
  <si>
    <t>前提条件</t>
  </si>
  <si>
    <t>平均每1%增加秒伤</t>
  </si>
  <si>
    <t>词条属性根据</t>
  </si>
  <si>
    <t>自定义</t>
  </si>
  <si>
    <t>←需自行选择</t>
  </si>
  <si>
    <t>一共三套备选，在上面 红字 装备选择中选择第几套的单件。</t>
  </si>
  <si>
    <t>灵长</t>
  </si>
  <si>
    <t>例如，你原本是套一的装备，想换套二看效果，就在装备选择中选2</t>
  </si>
  <si>
    <t>可控词条</t>
  </si>
  <si>
    <t>装备有效词条</t>
  </si>
  <si>
    <r>
      <rPr>
        <b/>
        <sz val="11"/>
        <color rgb="FFD8D8D8"/>
        <rFont val="宋体"/>
        <charset val="134"/>
      </rPr>
      <t>满</t>
    </r>
    <r>
      <rPr>
        <b/>
        <sz val="11"/>
        <color rgb="FFFFBF00"/>
        <rFont val="宋体"/>
        <charset val="134"/>
      </rPr>
      <t>攻速</t>
    </r>
    <r>
      <rPr>
        <b/>
        <sz val="11"/>
        <color rgb="FFD8D8D8"/>
        <rFont val="宋体"/>
        <charset val="134"/>
      </rPr>
      <t>所需词条数</t>
    </r>
  </si>
  <si>
    <t>←必须达成（自动生成）</t>
  </si>
  <si>
    <r>
      <rPr>
        <b/>
        <sz val="11"/>
        <color rgb="FFD8D8D8"/>
        <rFont val="宋体"/>
        <charset val="134"/>
      </rPr>
      <t>满</t>
    </r>
    <r>
      <rPr>
        <b/>
        <sz val="11"/>
        <color rgb="FFFFBF00"/>
        <rFont val="宋体"/>
        <charset val="134"/>
      </rPr>
      <t>闪避</t>
    </r>
    <r>
      <rPr>
        <b/>
        <sz val="11"/>
        <color rgb="FFD8D8D8"/>
        <rFont val="宋体"/>
        <charset val="134"/>
      </rPr>
      <t>所需词条数</t>
    </r>
  </si>
  <si>
    <r>
      <rPr>
        <b/>
        <sz val="11"/>
        <color rgb="FFFFBF00"/>
        <rFont val="宋体"/>
        <charset val="134"/>
      </rPr>
      <t>武器</t>
    </r>
    <r>
      <rPr>
        <b/>
        <sz val="11"/>
        <color rgb="FFD8D8D8"/>
        <rFont val="宋体"/>
        <charset val="134"/>
      </rPr>
      <t>不可控词条数</t>
    </r>
  </si>
  <si>
    <t>可自由分配词条</t>
  </si>
  <si>
    <t>总输出</t>
  </si>
  <si>
    <t>参考</t>
  </si>
  <si>
    <t>不同点数解</t>
  </si>
  <si>
    <t>参考：</t>
  </si>
  <si>
    <t>PVE</t>
  </si>
  <si>
    <t>PVP</t>
  </si>
  <si>
    <t>词条属性参考</t>
  </si>
  <si>
    <t>法师</t>
  </si>
  <si>
    <t>用途</t>
  </si>
  <si>
    <t>点数</t>
  </si>
  <si>
    <t>分布</t>
  </si>
  <si>
    <t>最小值</t>
  </si>
  <si>
    <t>最大值</t>
  </si>
  <si>
    <t>中位数</t>
  </si>
  <si>
    <t>平均值</t>
  </si>
  <si>
    <t>基础数值</t>
  </si>
  <si>
    <t>装备数值</t>
  </si>
  <si>
    <t>属性</t>
  </si>
  <si>
    <t>你的猎人搭配</t>
  </si>
  <si>
    <t>运算区</t>
  </si>
  <si>
    <t>K</t>
  </si>
  <si>
    <t>总点数</t>
  </si>
  <si>
    <t>A</t>
  </si>
  <si>
    <t>B</t>
  </si>
  <si>
    <t>C</t>
  </si>
  <si>
    <t>D</t>
  </si>
  <si>
    <t>F(平A)</t>
  </si>
  <si>
    <t>触发武器特效输出</t>
  </si>
  <si>
    <t>触发概率</t>
  </si>
  <si>
    <t>特效</t>
  </si>
  <si>
    <t>特效输出</t>
  </si>
  <si>
    <t>周期(秒)</t>
  </si>
  <si>
    <t>每秒次数</t>
  </si>
  <si>
    <t>每秒输出</t>
  </si>
  <si>
    <t>圣骑</t>
  </si>
  <si>
    <t>未完成</t>
  </si>
</sst>
</file>

<file path=xl/styles.xml><?xml version="1.0" encoding="utf-8"?>
<styleSheet xmlns="http://schemas.openxmlformats.org/spreadsheetml/2006/main">
  <numFmts count="8">
    <numFmt numFmtId="176" formatCode="0_);[Red]\(0\)"/>
    <numFmt numFmtId="177" formatCode="0.0%"/>
    <numFmt numFmtId="178" formatCode="0_ "/>
    <numFmt numFmtId="179" formatCode="0.0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51">
    <font>
      <sz val="1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宋体"/>
      <charset val="134"/>
    </font>
    <font>
      <b/>
      <sz val="12"/>
      <color rgb="FFFFFFFF"/>
      <name val="宋体"/>
      <charset val="134"/>
    </font>
    <font>
      <b/>
      <i/>
      <sz val="12"/>
      <color rgb="FFFF0000"/>
      <name val="宋体"/>
      <charset val="134"/>
    </font>
    <font>
      <sz val="11"/>
      <color rgb="FFD8D8D8"/>
      <name val="宋体"/>
      <charset val="134"/>
    </font>
    <font>
      <sz val="11"/>
      <color rgb="FFE6E4E4"/>
      <name val="宋体"/>
      <charset val="134"/>
    </font>
    <font>
      <b/>
      <sz val="11"/>
      <color rgb="FFFFFFFF"/>
      <name val="宋体"/>
      <charset val="134"/>
    </font>
    <font>
      <b/>
      <i/>
      <sz val="11"/>
      <color rgb="FFFF0000"/>
      <name val="宋体"/>
      <charset val="134"/>
    </font>
    <font>
      <b/>
      <i/>
      <sz val="12"/>
      <color rgb="FFFF0000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2F2F2"/>
      <name val="宋体"/>
      <charset val="134"/>
    </font>
    <font>
      <b/>
      <sz val="11"/>
      <color rgb="FF121212"/>
      <name val="宋体"/>
      <charset val="134"/>
    </font>
    <font>
      <b/>
      <sz val="11"/>
      <color rgb="FFFF0000"/>
      <name val="宋体"/>
      <charset val="134"/>
    </font>
    <font>
      <b/>
      <sz val="11"/>
      <color rgb="FFD8D8D8"/>
      <name val="宋体"/>
      <charset val="134"/>
    </font>
    <font>
      <b/>
      <sz val="11"/>
      <color rgb="FFFFBF00"/>
      <name val="宋体"/>
      <charset val="134"/>
    </font>
    <font>
      <b/>
      <sz val="11"/>
      <color rgb="FF757070"/>
      <name val="宋体"/>
      <charset val="134"/>
    </font>
    <font>
      <sz val="11"/>
      <color rgb="FFFFFFFF"/>
      <name val="宋体"/>
      <charset val="134"/>
    </font>
    <font>
      <sz val="11"/>
      <color rgb="FF7F7F7F"/>
      <name val="宋体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b/>
      <sz val="11"/>
      <name val="宋体"/>
      <charset val="134"/>
    </font>
    <font>
      <b/>
      <sz val="11"/>
      <color rgb="FF7F7F7F"/>
      <name val="宋体"/>
      <charset val="134"/>
    </font>
    <font>
      <sz val="14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FFFFFF"/>
      <name val="楷体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b/>
      <sz val="2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7C7C7C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E57373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435369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Border="0">
      <alignment vertical="center"/>
    </xf>
    <xf numFmtId="0" fontId="33" fillId="33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49" fillId="50" borderId="42" applyNumberFormat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44" fontId="31" fillId="0" borderId="0" applyFont="0" applyFill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9" fontId="1" fillId="0" borderId="0" applyBorder="0">
      <alignment vertical="top"/>
      <protection locked="0"/>
    </xf>
    <xf numFmtId="0" fontId="33" fillId="51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46" fillId="42" borderId="42" applyNumberFormat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5" fillId="16" borderId="37" applyNumberFormat="0" applyAlignment="0" applyProtection="0">
      <alignment vertical="center"/>
    </xf>
    <xf numFmtId="0" fontId="50" fillId="42" borderId="43" applyNumberFormat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1" fillId="25" borderId="38" applyNumberFormat="0" applyFont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47" fillId="0" borderId="39" applyNumberFormat="0" applyFill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4" fillId="0" borderId="36" applyNumberFormat="0" applyFill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4" xfId="0" applyFont="1" applyFill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7" fillId="3" borderId="4" xfId="0" applyFont="1" applyFill="1" applyBorder="1">
      <alignment vertical="center"/>
    </xf>
    <xf numFmtId="0" fontId="1" fillId="4" borderId="4" xfId="0" applyFont="1" applyFill="1" applyBorder="1" applyAlignment="1">
      <alignment horizontal="center" vertical="center"/>
    </xf>
    <xf numFmtId="9" fontId="1" fillId="4" borderId="4" xfId="9" applyFill="1" applyBorder="1" applyAlignment="1" applyProtection="1">
      <alignment horizontal="center" vertical="center"/>
    </xf>
    <xf numFmtId="0" fontId="8" fillId="3" borderId="4" xfId="0" applyFont="1" applyFill="1" applyBorder="1">
      <alignment vertical="center"/>
    </xf>
    <xf numFmtId="0" fontId="9" fillId="3" borderId="4" xfId="0" applyFont="1" applyFill="1" applyBorder="1">
      <alignment vertical="center"/>
    </xf>
    <xf numFmtId="0" fontId="10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9" fontId="12" fillId="4" borderId="4" xfId="0" applyNumberFormat="1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13" fillId="0" borderId="4" xfId="0" applyFont="1" applyFill="1" applyBorder="1">
      <alignment vertical="center"/>
    </xf>
    <xf numFmtId="0" fontId="1" fillId="0" borderId="4" xfId="0" applyFont="1" applyFill="1" applyBorder="1" applyAlignment="1">
      <alignment horizontal="center" vertical="center"/>
    </xf>
    <xf numFmtId="0" fontId="14" fillId="5" borderId="4" xfId="0" applyFont="1" applyFill="1" applyBorder="1">
      <alignment vertical="center"/>
    </xf>
    <xf numFmtId="179" fontId="1" fillId="6" borderId="4" xfId="0" applyNumberFormat="1" applyFont="1" applyFill="1" applyBorder="1" applyAlignment="1">
      <alignment horizontal="center" vertical="center"/>
    </xf>
    <xf numFmtId="10" fontId="1" fillId="6" borderId="4" xfId="0" applyNumberFormat="1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3" borderId="9" xfId="0" applyFont="1" applyFill="1" applyBorder="1">
      <alignment vertical="center"/>
    </xf>
    <xf numFmtId="10" fontId="1" fillId="4" borderId="10" xfId="9" applyNumberFormat="1" applyFont="1" applyFill="1" applyBorder="1" applyAlignment="1" applyProtection="1">
      <alignment horizontal="center"/>
    </xf>
    <xf numFmtId="0" fontId="2" fillId="0" borderId="11" xfId="0" applyFont="1" applyBorder="1" applyAlignment="1">
      <alignment horizontal="center" vertical="center"/>
    </xf>
    <xf numFmtId="0" fontId="9" fillId="3" borderId="12" xfId="0" applyFont="1" applyFill="1" applyBorder="1">
      <alignment vertical="center"/>
    </xf>
    <xf numFmtId="0" fontId="15" fillId="4" borderId="13" xfId="0" applyFont="1" applyFill="1" applyBorder="1" applyAlignment="1">
      <alignment horizontal="center" vertical="center"/>
    </xf>
    <xf numFmtId="0" fontId="7" fillId="3" borderId="12" xfId="0" applyFont="1" applyFill="1" applyBorder="1">
      <alignment vertical="center"/>
    </xf>
    <xf numFmtId="10" fontId="1" fillId="4" borderId="13" xfId="9" applyNumberFormat="1" applyFill="1" applyBorder="1" applyAlignment="1" applyProtection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1" fillId="0" borderId="15" xfId="0" applyFont="1" applyBorder="1">
      <alignment vertical="center"/>
    </xf>
    <xf numFmtId="0" fontId="2" fillId="4" borderId="13" xfId="0" applyFont="1" applyFill="1" applyBorder="1" applyAlignment="1">
      <alignment horizontal="center" vertical="center"/>
    </xf>
    <xf numFmtId="0" fontId="16" fillId="3" borderId="12" xfId="0" applyFont="1" applyFill="1" applyBorder="1">
      <alignment vertical="center"/>
    </xf>
    <xf numFmtId="0" fontId="1" fillId="4" borderId="13" xfId="0" applyFont="1" applyFill="1" applyBorder="1" applyAlignment="1">
      <alignment horizontal="center" vertical="center"/>
    </xf>
    <xf numFmtId="0" fontId="16" fillId="3" borderId="16" xfId="0" applyFont="1" applyFill="1" applyBorder="1">
      <alignment vertical="center"/>
    </xf>
    <xf numFmtId="0" fontId="15" fillId="4" borderId="17" xfId="0" applyFont="1" applyFill="1" applyBorder="1" applyAlignment="1">
      <alignment horizontal="center" vertical="center"/>
    </xf>
    <xf numFmtId="0" fontId="17" fillId="3" borderId="16" xfId="0" applyFont="1" applyFill="1" applyBorder="1">
      <alignment vertical="center"/>
    </xf>
    <xf numFmtId="0" fontId="16" fillId="3" borderId="18" xfId="0" applyFont="1" applyFill="1" applyBorder="1">
      <alignment vertical="center"/>
    </xf>
    <xf numFmtId="0" fontId="1" fillId="4" borderId="19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10" fontId="1" fillId="0" borderId="0" xfId="9" applyNumberFormat="1" applyAlignment="1" applyProtection="1">
      <alignment vertical="center"/>
    </xf>
    <xf numFmtId="10" fontId="1" fillId="0" borderId="0" xfId="9" applyNumberFormat="1" applyAlignment="1" applyProtection="1">
      <alignment horizontal="center" vertical="center"/>
    </xf>
    <xf numFmtId="0" fontId="9" fillId="3" borderId="20" xfId="0" applyFont="1" applyFill="1" applyBorder="1">
      <alignment vertical="center"/>
    </xf>
    <xf numFmtId="0" fontId="9" fillId="3" borderId="4" xfId="0" applyFont="1" applyFill="1" applyBorder="1" applyAlignment="1">
      <alignment horizontal="center" vertical="center"/>
    </xf>
    <xf numFmtId="0" fontId="18" fillId="7" borderId="20" xfId="0" applyFont="1" applyFill="1" applyBorder="1">
      <alignment vertical="center"/>
    </xf>
    <xf numFmtId="0" fontId="1" fillId="7" borderId="4" xfId="0" applyFont="1" applyFill="1" applyBorder="1" applyAlignment="1">
      <alignment horizontal="center" vertical="center"/>
    </xf>
    <xf numFmtId="0" fontId="15" fillId="7" borderId="20" xfId="0" applyFont="1" applyFill="1" applyBorder="1">
      <alignment vertical="center"/>
    </xf>
    <xf numFmtId="0" fontId="2" fillId="7" borderId="20" xfId="0" applyFont="1" applyFill="1" applyBorder="1">
      <alignment vertical="center"/>
    </xf>
    <xf numFmtId="0" fontId="1" fillId="7" borderId="4" xfId="0" applyFont="1" applyFill="1" applyBorder="1">
      <alignment vertical="center"/>
    </xf>
    <xf numFmtId="0" fontId="9" fillId="8" borderId="3" xfId="0" applyFont="1" applyFill="1" applyBorder="1">
      <alignment vertical="center"/>
    </xf>
    <xf numFmtId="0" fontId="19" fillId="8" borderId="0" xfId="0" applyFont="1" applyFill="1">
      <alignment vertical="center"/>
    </xf>
    <xf numFmtId="0" fontId="20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10" fontId="19" fillId="8" borderId="0" xfId="9" applyNumberFormat="1" applyFont="1" applyFill="1" applyAlignment="1" applyProtection="1">
      <alignment horizontal="center" vertical="center"/>
    </xf>
    <xf numFmtId="177" fontId="19" fillId="8" borderId="0" xfId="9" applyNumberFormat="1" applyFont="1" applyFill="1" applyAlignment="1" applyProtection="1">
      <alignment horizontal="center" vertical="center"/>
    </xf>
    <xf numFmtId="10" fontId="19" fillId="8" borderId="0" xfId="9" applyNumberFormat="1" applyFont="1" applyFill="1" applyAlignment="1" applyProtection="1">
      <alignment vertical="center"/>
    </xf>
    <xf numFmtId="0" fontId="9" fillId="8" borderId="5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8" borderId="6" xfId="0" applyFont="1" applyFill="1" applyBorder="1" applyAlignment="1">
      <alignment horizontal="center"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9" fontId="1" fillId="0" borderId="0" xfId="0" applyNumberFormat="1" applyFont="1">
      <alignment vertical="center"/>
    </xf>
    <xf numFmtId="9" fontId="1" fillId="0" borderId="0" xfId="9" applyAlignment="1" applyProtection="1">
      <alignment vertical="center"/>
    </xf>
    <xf numFmtId="0" fontId="2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horizontal="center" vertical="center" textRotation="255"/>
    </xf>
    <xf numFmtId="0" fontId="21" fillId="0" borderId="9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top" wrapText="1"/>
    </xf>
    <xf numFmtId="0" fontId="3" fillId="0" borderId="28" xfId="0" applyFont="1" applyBorder="1" applyAlignment="1">
      <alignment horizontal="center" vertical="center" textRotation="255"/>
    </xf>
    <xf numFmtId="0" fontId="22" fillId="9" borderId="1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9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horizontal="left" vertical="top" wrapText="1"/>
    </xf>
    <xf numFmtId="0" fontId="3" fillId="0" borderId="30" xfId="0" applyFont="1" applyBorder="1" applyAlignment="1">
      <alignment horizontal="center" vertical="center" textRotation="255"/>
    </xf>
    <xf numFmtId="0" fontId="15" fillId="0" borderId="31" xfId="0" applyFont="1" applyBorder="1">
      <alignment vertical="center"/>
    </xf>
    <xf numFmtId="0" fontId="23" fillId="0" borderId="0" xfId="0" applyFont="1">
      <alignment vertical="center"/>
    </xf>
    <xf numFmtId="0" fontId="0" fillId="10" borderId="0" xfId="0" applyFill="1">
      <alignment vertical="center"/>
    </xf>
    <xf numFmtId="0" fontId="3" fillId="0" borderId="4" xfId="0" applyFont="1" applyBorder="1" applyAlignment="1">
      <alignment horizontal="center" vertical="center" textRotation="255"/>
    </xf>
    <xf numFmtId="0" fontId="21" fillId="0" borderId="4" xfId="0" applyFont="1" applyFill="1" applyBorder="1" applyAlignment="1">
      <alignment horizontal="center" vertical="center"/>
    </xf>
    <xf numFmtId="0" fontId="22" fillId="9" borderId="4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0" fillId="8" borderId="0" xfId="0" applyNumberFormat="1" applyFont="1" applyFill="1">
      <alignment vertical="center"/>
    </xf>
    <xf numFmtId="0" fontId="24" fillId="8" borderId="0" xfId="0" applyFont="1" applyFill="1">
      <alignment vertical="center"/>
    </xf>
    <xf numFmtId="0" fontId="1" fillId="0" borderId="22" xfId="0" applyFont="1" applyBorder="1">
      <alignment vertical="center"/>
    </xf>
    <xf numFmtId="0" fontId="4" fillId="0" borderId="31" xfId="0" applyFont="1" applyBorder="1" applyAlignment="1">
      <alignment horizontal="center" vertical="center"/>
    </xf>
    <xf numFmtId="0" fontId="22" fillId="9" borderId="32" xfId="0" applyFont="1" applyFill="1" applyBorder="1" applyAlignment="1">
      <alignment horizontal="center" vertical="center"/>
    </xf>
    <xf numFmtId="9" fontId="21" fillId="7" borderId="4" xfId="9" applyFont="1" applyFill="1" applyBorder="1" applyAlignment="1" applyProtection="1">
      <alignment horizontal="center" vertical="center"/>
    </xf>
    <xf numFmtId="9" fontId="1" fillId="0" borderId="4" xfId="9" applyFill="1" applyBorder="1" applyAlignment="1" applyProtection="1">
      <alignment horizontal="center"/>
    </xf>
    <xf numFmtId="0" fontId="1" fillId="0" borderId="6" xfId="0" applyFont="1" applyBorder="1">
      <alignment vertical="center"/>
    </xf>
    <xf numFmtId="0" fontId="3" fillId="11" borderId="4" xfId="0" applyFont="1" applyFill="1" applyBorder="1" applyAlignment="1">
      <alignment horizontal="center" vertical="center"/>
    </xf>
    <xf numFmtId="9" fontId="21" fillId="12" borderId="4" xfId="9" applyFont="1" applyFill="1" applyBorder="1" applyAlignment="1" applyProtection="1">
      <alignment horizontal="center" vertical="center" wrapText="1"/>
    </xf>
    <xf numFmtId="9" fontId="21" fillId="12" borderId="4" xfId="9" applyNumberFormat="1" applyFont="1" applyFill="1" applyBorder="1" applyAlignment="1" applyProtection="1">
      <alignment horizontal="center" vertical="center" wrapText="1"/>
    </xf>
    <xf numFmtId="9" fontId="21" fillId="0" borderId="4" xfId="9" applyFont="1" applyFill="1" applyBorder="1" applyAlignment="1" applyProtection="1">
      <alignment horizontal="center" vertical="center" wrapText="1"/>
    </xf>
    <xf numFmtId="9" fontId="1" fillId="0" borderId="4" xfId="9" applyFont="1" applyBorder="1" applyAlignment="1" applyProtection="1">
      <alignment horizontal="center" vertical="center" wrapText="1"/>
    </xf>
    <xf numFmtId="9" fontId="1" fillId="0" borderId="4" xfId="9" applyFont="1" applyBorder="1" applyAlignment="1" applyProtection="1">
      <alignment horizontal="center" vertical="center"/>
    </xf>
    <xf numFmtId="9" fontId="1" fillId="0" borderId="4" xfId="9" applyFont="1" applyBorder="1" applyAlignment="1" applyProtection="1">
      <alignment vertical="center"/>
    </xf>
    <xf numFmtId="9" fontId="25" fillId="0" borderId="4" xfId="9" applyFont="1" applyBorder="1" applyAlignment="1" applyProtection="1">
      <alignment vertical="center"/>
    </xf>
    <xf numFmtId="0" fontId="2" fillId="0" borderId="33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11" xfId="0" applyFont="1" applyBorder="1">
      <alignment vertical="center"/>
    </xf>
    <xf numFmtId="0" fontId="27" fillId="13" borderId="4" xfId="0" applyFont="1" applyFill="1" applyBorder="1" applyAlignment="1">
      <alignment horizontal="center" vertical="center"/>
    </xf>
    <xf numFmtId="0" fontId="27" fillId="13" borderId="13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179" fontId="20" fillId="8" borderId="0" xfId="0" applyNumberFormat="1" applyFont="1" applyFill="1">
      <alignment vertical="center"/>
    </xf>
    <xf numFmtId="179" fontId="20" fillId="8" borderId="15" xfId="0" applyNumberFormat="1" applyFont="1" applyFill="1" applyBorder="1">
      <alignment vertical="center"/>
    </xf>
    <xf numFmtId="0" fontId="24" fillId="8" borderId="0" xfId="0" applyFont="1" applyFill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179" fontId="19" fillId="8" borderId="0" xfId="0" applyNumberFormat="1" applyFont="1" applyFill="1" applyAlignment="1">
      <alignment horizontal="center" vertical="center"/>
    </xf>
    <xf numFmtId="179" fontId="19" fillId="8" borderId="15" xfId="0" applyNumberFormat="1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9" fillId="8" borderId="15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9" fillId="8" borderId="7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3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9" xfId="0" applyFont="1" applyBorder="1">
      <alignment vertical="center"/>
    </xf>
    <xf numFmtId="0" fontId="21" fillId="5" borderId="32" xfId="0" applyFont="1" applyFill="1" applyBorder="1" applyAlignment="1">
      <alignment horizontal="center" vertical="center"/>
    </xf>
    <xf numFmtId="176" fontId="21" fillId="6" borderId="4" xfId="9" applyNumberFormat="1" applyFont="1" applyFill="1" applyBorder="1" applyAlignment="1" applyProtection="1">
      <alignment horizontal="center" vertical="center"/>
    </xf>
    <xf numFmtId="0" fontId="3" fillId="15" borderId="4" xfId="0" applyFont="1" applyFill="1" applyBorder="1" applyAlignment="1">
      <alignment horizontal="center" vertical="center"/>
    </xf>
    <xf numFmtId="0" fontId="22" fillId="16" borderId="4" xfId="0" applyFont="1" applyFill="1" applyBorder="1" applyAlignment="1">
      <alignment horizontal="center" vertical="center"/>
    </xf>
    <xf numFmtId="9" fontId="21" fillId="17" borderId="4" xfId="9" applyNumberFormat="1" applyFont="1" applyFill="1" applyBorder="1" applyAlignment="1" applyProtection="1">
      <alignment horizontal="center" vertical="center"/>
    </xf>
    <xf numFmtId="9" fontId="21" fillId="17" borderId="4" xfId="9" applyFont="1" applyFill="1" applyBorder="1" applyAlignment="1" applyProtection="1">
      <alignment horizontal="center" vertical="center"/>
    </xf>
    <xf numFmtId="9" fontId="1" fillId="0" borderId="4" xfId="9" applyBorder="1" applyAlignment="1" applyProtection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3" xfId="0" applyFont="1" applyBorder="1">
      <alignment vertical="center"/>
    </xf>
    <xf numFmtId="0" fontId="28" fillId="9" borderId="32" xfId="0" applyFont="1" applyFill="1" applyBorder="1" applyAlignment="1">
      <alignment horizontal="center" vertical="center"/>
    </xf>
    <xf numFmtId="9" fontId="21" fillId="18" borderId="4" xfId="9" applyFont="1" applyFill="1" applyBorder="1" applyAlignment="1" applyProtection="1">
      <alignment horizontal="center" vertical="center"/>
    </xf>
    <xf numFmtId="9" fontId="21" fillId="7" borderId="4" xfId="9" applyNumberFormat="1" applyFont="1" applyFill="1" applyBorder="1" applyAlignment="1" applyProtection="1">
      <alignment horizontal="center" vertical="center"/>
    </xf>
    <xf numFmtId="9" fontId="21" fillId="0" borderId="4" xfId="9" applyNumberFormat="1" applyFont="1" applyBorder="1" applyAlignment="1" applyProtection="1">
      <alignment horizontal="center" vertical="center"/>
    </xf>
    <xf numFmtId="9" fontId="21" fillId="0" borderId="4" xfId="9" applyFont="1" applyBorder="1" applyAlignment="1" applyProtection="1">
      <alignment horizontal="center" vertical="center"/>
    </xf>
    <xf numFmtId="0" fontId="1" fillId="0" borderId="4" xfId="0" applyFont="1" applyFill="1" applyBorder="1" applyAlignment="1"/>
    <xf numFmtId="178" fontId="1" fillId="10" borderId="0" xfId="0" applyNumberFormat="1" applyFont="1" applyFill="1">
      <alignment vertical="center"/>
    </xf>
    <xf numFmtId="9" fontId="21" fillId="0" borderId="4" xfId="9" applyNumberFormat="1" applyFont="1" applyFill="1" applyBorder="1" applyAlignment="1" applyProtection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9" fontId="21" fillId="21" borderId="4" xfId="9" applyFont="1" applyFill="1" applyBorder="1" applyAlignment="1" applyProtection="1">
      <alignment horizontal="center" vertical="center"/>
    </xf>
    <xf numFmtId="0" fontId="26" fillId="0" borderId="4" xfId="0" applyFont="1" applyBorder="1">
      <alignment vertical="center"/>
    </xf>
    <xf numFmtId="177" fontId="1" fillId="0" borderId="4" xfId="0" applyNumberFormat="1" applyFont="1" applyFill="1" applyBorder="1" applyAlignment="1"/>
    <xf numFmtId="0" fontId="1" fillId="0" borderId="0" xfId="0" applyFont="1">
      <alignment vertical="center"/>
    </xf>
    <xf numFmtId="177" fontId="21" fillId="6" borderId="4" xfId="9" applyNumberFormat="1" applyFont="1" applyFill="1" applyBorder="1" applyAlignment="1" applyProtection="1">
      <alignment horizontal="center" vertical="center"/>
    </xf>
    <xf numFmtId="49" fontId="21" fillId="7" borderId="4" xfId="9" applyNumberFormat="1" applyFont="1" applyFill="1" applyBorder="1" applyAlignment="1" applyProtection="1">
      <alignment horizontal="center" vertical="center"/>
    </xf>
    <xf numFmtId="0" fontId="27" fillId="13" borderId="5" xfId="0" applyFont="1" applyFill="1" applyBorder="1" applyAlignment="1">
      <alignment horizontal="center" vertical="center"/>
    </xf>
    <xf numFmtId="0" fontId="27" fillId="13" borderId="6" xfId="0" applyFont="1" applyFill="1" applyBorder="1" applyAlignment="1">
      <alignment horizontal="center" vertical="center"/>
    </xf>
    <xf numFmtId="0" fontId="27" fillId="13" borderId="6" xfId="0" applyFont="1" applyFill="1" applyBorder="1">
      <alignment vertical="center"/>
    </xf>
    <xf numFmtId="0" fontId="29" fillId="0" borderId="4" xfId="0" applyFont="1" applyBorder="1">
      <alignment vertical="center"/>
    </xf>
    <xf numFmtId="177" fontId="1" fillId="0" borderId="4" xfId="0" applyNumberFormat="1" applyFont="1" applyBorder="1">
      <alignment vertical="center"/>
    </xf>
    <xf numFmtId="9" fontId="1" fillId="0" borderId="4" xfId="9" applyNumberFormat="1" applyBorder="1" applyAlignment="1" applyProtection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77" fontId="21" fillId="18" borderId="13" xfId="9" applyNumberFormat="1" applyFont="1" applyFill="1" applyBorder="1" applyAlignment="1" applyProtection="1">
      <alignment horizontal="center" vertical="center"/>
    </xf>
    <xf numFmtId="0" fontId="1" fillId="14" borderId="7" xfId="0" applyFont="1" applyFill="1" applyBorder="1">
      <alignment vertical="center"/>
    </xf>
    <xf numFmtId="0" fontId="3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AH67"/>
  <sheetViews>
    <sheetView showZeros="0" tabSelected="1" zoomScale="51" zoomScaleNormal="51" workbookViewId="0">
      <selection activeCell="AI31" sqref="AI31"/>
    </sheetView>
  </sheetViews>
  <sheetFormatPr defaultColWidth="9.90825688073394" defaultRowHeight="13.35"/>
  <cols>
    <col min="1" max="1" width="5.21100917431193" customWidth="1"/>
    <col min="2" max="2" width="15.8990825688073" style="2" customWidth="1"/>
    <col min="3" max="3" width="17.1559633027523" customWidth="1"/>
    <col min="4" max="4" width="15.7339449541284" style="3" customWidth="1"/>
    <col min="5" max="6" width="12.8899082568807"/>
    <col min="7" max="7" width="14.4770642201835" customWidth="1"/>
    <col min="8" max="8" width="9.6605504587156" customWidth="1"/>
    <col min="9" max="16" width="5.70642201834862" customWidth="1"/>
    <col min="17" max="17" width="9.55045871559633" customWidth="1"/>
    <col min="18" max="27" width="5.70642201834862" customWidth="1"/>
    <col min="28" max="28" width="7.94495412844037" customWidth="1"/>
    <col min="29" max="29" width="8.39449541284404" customWidth="1"/>
    <col min="30" max="30" width="6.94495412844037" customWidth="1"/>
  </cols>
  <sheetData>
    <row r="1" spans="2:29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178"/>
    </row>
    <row r="2" ht="14.1" spans="2:29">
      <c r="B2" s="6"/>
      <c r="C2" s="7"/>
      <c r="D2" s="7"/>
      <c r="E2" s="82"/>
      <c r="F2" s="82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179"/>
    </row>
    <row r="3" ht="20.35" spans="2:29">
      <c r="B3" s="8" t="s">
        <v>1</v>
      </c>
      <c r="C3" s="8"/>
      <c r="D3" s="8"/>
      <c r="G3" s="83" t="s">
        <v>2</v>
      </c>
      <c r="H3" s="83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80"/>
    </row>
    <row r="4" ht="14.45" spans="2:29">
      <c r="B4" s="9" t="s">
        <v>3</v>
      </c>
      <c r="C4" s="10" t="s">
        <v>3</v>
      </c>
      <c r="D4" s="11" t="s">
        <v>4</v>
      </c>
      <c r="F4" s="84" t="s">
        <v>5</v>
      </c>
      <c r="G4" s="85" t="s">
        <v>6</v>
      </c>
      <c r="H4" s="86"/>
      <c r="I4" s="107" t="s">
        <v>7</v>
      </c>
      <c r="J4" s="107" t="s">
        <v>8</v>
      </c>
      <c r="K4" s="107" t="s">
        <v>9</v>
      </c>
      <c r="L4" s="107" t="s">
        <v>10</v>
      </c>
      <c r="M4" s="107" t="s">
        <v>11</v>
      </c>
      <c r="N4" s="107" t="s">
        <v>12</v>
      </c>
      <c r="O4" s="107" t="s">
        <v>13</v>
      </c>
      <c r="P4" s="143" t="s">
        <v>14</v>
      </c>
      <c r="Q4" s="143" t="s">
        <v>15</v>
      </c>
      <c r="R4" s="107" t="s">
        <v>16</v>
      </c>
      <c r="S4" s="107" t="s">
        <v>17</v>
      </c>
      <c r="T4" s="156" t="s">
        <v>18</v>
      </c>
      <c r="U4" s="156" t="s">
        <v>19</v>
      </c>
      <c r="V4" s="156" t="s">
        <v>20</v>
      </c>
      <c r="W4" s="156" t="s">
        <v>21</v>
      </c>
      <c r="X4" s="107" t="s">
        <v>22</v>
      </c>
      <c r="Y4" s="107" t="s">
        <v>23</v>
      </c>
      <c r="Z4" s="107" t="s">
        <v>24</v>
      </c>
      <c r="AA4" s="107" t="s">
        <v>25</v>
      </c>
      <c r="AB4" s="143" t="s">
        <v>26</v>
      </c>
      <c r="AC4" s="181" t="s">
        <v>27</v>
      </c>
    </row>
    <row r="5" spans="2:29">
      <c r="B5" s="9"/>
      <c r="C5" s="12" t="s">
        <v>28</v>
      </c>
      <c r="D5" s="13">
        <f>IF(LEFT(D4,1)="战",1,IF(LEFT(D4,1)="法",1.1,IF(LEFT(D4,1)="射",0.9,1.2)))</f>
        <v>0.9</v>
      </c>
      <c r="F5" s="87"/>
      <c r="G5" s="88"/>
      <c r="H5" s="89" t="s">
        <v>29</v>
      </c>
      <c r="I5" s="108">
        <f t="shared" ref="I5:O5" si="0">IF(I$15=1,I19,IF(I$15=2,P19,W19))</f>
        <v>0.11</v>
      </c>
      <c r="J5" s="108">
        <f t="shared" si="0"/>
        <v>0</v>
      </c>
      <c r="K5" s="108">
        <f t="shared" si="0"/>
        <v>0</v>
      </c>
      <c r="L5" s="108">
        <f t="shared" si="0"/>
        <v>0</v>
      </c>
      <c r="M5" s="108">
        <f t="shared" si="0"/>
        <v>0</v>
      </c>
      <c r="N5" s="108">
        <f t="shared" si="0"/>
        <v>0</v>
      </c>
      <c r="O5" s="108">
        <f t="shared" si="0"/>
        <v>0</v>
      </c>
      <c r="P5" s="144">
        <f t="shared" ref="P5:P14" si="1">COUNTIF(I5:O5,"&gt;0")</f>
        <v>1</v>
      </c>
      <c r="Q5" s="157">
        <f t="shared" ref="Q5:Q9" si="2">SUM(I5:O5)</f>
        <v>0.11</v>
      </c>
      <c r="R5" s="158">
        <v>0.1</v>
      </c>
      <c r="S5" s="108">
        <v>0.05</v>
      </c>
      <c r="T5" s="108"/>
      <c r="U5" s="158"/>
      <c r="V5" s="108">
        <v>0.2</v>
      </c>
      <c r="W5" s="158"/>
      <c r="X5" s="158"/>
      <c r="Y5" s="158"/>
      <c r="Z5" s="158"/>
      <c r="AA5" s="158"/>
      <c r="AB5" s="170">
        <f>SUM(R5:X5)</f>
        <v>0.35</v>
      </c>
      <c r="AC5" s="182">
        <f>Q5+AB5</f>
        <v>0.46</v>
      </c>
    </row>
    <row r="6" spans="2:29">
      <c r="B6" s="9"/>
      <c r="C6" s="12" t="s">
        <v>30</v>
      </c>
      <c r="D6" s="13">
        <f>IF(LEFT(D4,1)="战",4,1)</f>
        <v>1</v>
      </c>
      <c r="F6" s="87"/>
      <c r="G6" s="88"/>
      <c r="H6" s="89" t="s">
        <v>31</v>
      </c>
      <c r="I6" s="108">
        <f t="shared" ref="I6:O6" si="3">IF(I$15=1,I20,IF(I$15=2,P20,W20))</f>
        <v>0</v>
      </c>
      <c r="J6" s="108">
        <f t="shared" si="3"/>
        <v>0</v>
      </c>
      <c r="K6" s="108">
        <f t="shared" si="3"/>
        <v>0</v>
      </c>
      <c r="L6" s="108">
        <f t="shared" si="3"/>
        <v>0</v>
      </c>
      <c r="M6" s="108">
        <f t="shared" si="3"/>
        <v>0</v>
      </c>
      <c r="N6" s="108">
        <f t="shared" si="3"/>
        <v>0</v>
      </c>
      <c r="O6" s="108">
        <f t="shared" si="3"/>
        <v>0</v>
      </c>
      <c r="P6" s="144">
        <f t="shared" si="1"/>
        <v>0</v>
      </c>
      <c r="Q6" s="157">
        <f t="shared" si="2"/>
        <v>0</v>
      </c>
      <c r="R6" s="158">
        <v>0.15</v>
      </c>
      <c r="S6" s="158">
        <v>0.15</v>
      </c>
      <c r="T6" s="158"/>
      <c r="U6" s="158"/>
      <c r="V6" s="108">
        <v>0.2</v>
      </c>
      <c r="W6" s="108"/>
      <c r="X6" s="108">
        <f>IF(LEFT(D4,1)="圣",0.25,0)</f>
        <v>0</v>
      </c>
      <c r="Y6" s="108">
        <f>D14-1</f>
        <v>0.2</v>
      </c>
      <c r="Z6" s="171"/>
      <c r="AA6" s="108"/>
      <c r="AB6" s="170">
        <f>SUM(R6:Y6)</f>
        <v>0.7</v>
      </c>
      <c r="AC6" s="182">
        <f>((1+Q6+AB6)*(1+T6)-1)</f>
        <v>0.7</v>
      </c>
    </row>
    <row r="7" spans="2:29">
      <c r="B7" s="9"/>
      <c r="C7" s="12" t="s">
        <v>32</v>
      </c>
      <c r="D7" s="14">
        <f>IF(LEFT(D4,1)="战",1,IF(LEFT(D4,1)="法",2.4*5,IF(LEFT(D4,1)="射",1.34*13,10.2*1)))</f>
        <v>17.42</v>
      </c>
      <c r="F7" s="87"/>
      <c r="G7" s="88"/>
      <c r="H7" s="89" t="s">
        <v>33</v>
      </c>
      <c r="I7" s="108">
        <f t="shared" ref="I7:L7" si="4">IF(I15=1,I21,IF(I15=2,P21,W21))</f>
        <v>0.26</v>
      </c>
      <c r="J7" s="108">
        <f t="shared" si="4"/>
        <v>0</v>
      </c>
      <c r="K7" s="108">
        <f t="shared" si="4"/>
        <v>0</v>
      </c>
      <c r="L7" s="108">
        <f t="shared" si="4"/>
        <v>0</v>
      </c>
      <c r="M7" s="108">
        <f>IF(D11=90,100%,IF(M15=1,M21,IF(M15=2,T21,AA21)))</f>
        <v>0</v>
      </c>
      <c r="N7" s="108">
        <f t="shared" ref="N7:N9" si="5">IF(N$15=1,N21,IF(N$15=2,U21,AB21))</f>
        <v>0</v>
      </c>
      <c r="O7" s="108">
        <f t="shared" ref="O7:O9" si="6">IF(O$15=1,O21,IF(O$15=2,V21,AC21))</f>
        <v>0</v>
      </c>
      <c r="P7" s="144">
        <f t="shared" si="1"/>
        <v>1</v>
      </c>
      <c r="Q7" s="157">
        <f>IF(D11=90,M7,MIN(SUM(I7:O7),50%))</f>
        <v>0.26</v>
      </c>
      <c r="R7" s="158">
        <v>0.1</v>
      </c>
      <c r="S7" s="158">
        <v>0.05</v>
      </c>
      <c r="T7" s="108"/>
      <c r="U7" s="158">
        <v>0</v>
      </c>
      <c r="V7" s="108">
        <v>0.04</v>
      </c>
      <c r="W7" s="108"/>
      <c r="X7" s="108"/>
      <c r="Y7" s="108"/>
      <c r="Z7" s="108"/>
      <c r="AA7" s="108">
        <f>D10</f>
        <v>0.06</v>
      </c>
      <c r="AB7" s="170">
        <f t="shared" ref="AB7:AB10" si="7">SUM(R7:AA7)</f>
        <v>0.25</v>
      </c>
      <c r="AC7" s="182">
        <f>MIN((AB7+Q7),100%)</f>
        <v>0.51</v>
      </c>
    </row>
    <row r="8" spans="2:29">
      <c r="B8" s="9"/>
      <c r="C8" s="12" t="s">
        <v>34</v>
      </c>
      <c r="D8" s="14">
        <f>IF(LEFT(D4,1)="战",0.8,IF(LEFT(D4,1)="法",4.5*3,IF(LEFT(D4,1)="射",3*5,0.6*D7)))</f>
        <v>15</v>
      </c>
      <c r="F8" s="87"/>
      <c r="G8" s="88"/>
      <c r="H8" s="89" t="s">
        <v>35</v>
      </c>
      <c r="I8" s="108">
        <f t="shared" ref="I8:M8" si="8">IF(I15=1,I22,IF(I15=2,P22,W22))</f>
        <v>0</v>
      </c>
      <c r="J8" s="108">
        <f t="shared" si="8"/>
        <v>0</v>
      </c>
      <c r="K8" s="108">
        <f t="shared" si="8"/>
        <v>0</v>
      </c>
      <c r="L8" s="108">
        <f t="shared" si="8"/>
        <v>0</v>
      </c>
      <c r="M8" s="108">
        <f t="shared" si="8"/>
        <v>0</v>
      </c>
      <c r="N8" s="108">
        <f t="shared" si="5"/>
        <v>0</v>
      </c>
      <c r="O8" s="108">
        <f t="shared" si="6"/>
        <v>0</v>
      </c>
      <c r="P8" s="144">
        <f t="shared" si="1"/>
        <v>0</v>
      </c>
      <c r="Q8" s="157">
        <f t="shared" si="2"/>
        <v>0</v>
      </c>
      <c r="R8" s="158"/>
      <c r="S8" s="108"/>
      <c r="T8" s="108"/>
      <c r="U8" s="108"/>
      <c r="V8" s="108"/>
      <c r="W8" s="108"/>
      <c r="X8" s="108"/>
      <c r="Y8" s="108"/>
      <c r="Z8" s="108"/>
      <c r="AA8" s="108"/>
      <c r="AB8" s="170">
        <f t="shared" si="7"/>
        <v>0</v>
      </c>
      <c r="AC8" s="182">
        <f t="shared" ref="AC8:AC14" si="9">AB8+Q8</f>
        <v>0</v>
      </c>
    </row>
    <row r="9" spans="2:29">
      <c r="B9" s="9"/>
      <c r="C9" s="15" t="s">
        <v>36</v>
      </c>
      <c r="D9" s="14">
        <f>IF(OR(D4="圣骑",D4="战士"),3%,6%)</f>
        <v>0.06</v>
      </c>
      <c r="F9" s="87"/>
      <c r="G9" s="88"/>
      <c r="H9" s="89" t="s">
        <v>37</v>
      </c>
      <c r="I9" s="108">
        <f t="shared" ref="I9:M9" si="10">IF(I15=1,I23,IF(I15=2,P23,W23))</f>
        <v>0.35</v>
      </c>
      <c r="J9" s="108">
        <f t="shared" si="10"/>
        <v>0</v>
      </c>
      <c r="K9" s="108">
        <f t="shared" si="10"/>
        <v>0</v>
      </c>
      <c r="L9" s="108">
        <f t="shared" si="10"/>
        <v>0</v>
      </c>
      <c r="M9" s="108">
        <f t="shared" si="10"/>
        <v>0</v>
      </c>
      <c r="N9" s="108">
        <f t="shared" si="5"/>
        <v>0</v>
      </c>
      <c r="O9" s="108">
        <f t="shared" si="6"/>
        <v>0</v>
      </c>
      <c r="P9" s="144">
        <f t="shared" si="1"/>
        <v>1</v>
      </c>
      <c r="Q9" s="157">
        <f t="shared" si="2"/>
        <v>0.35</v>
      </c>
      <c r="R9" s="158"/>
      <c r="S9" s="108"/>
      <c r="T9" s="108"/>
      <c r="U9" s="108"/>
      <c r="V9" s="108"/>
      <c r="W9" s="158"/>
      <c r="X9" s="108"/>
      <c r="Y9" s="108"/>
      <c r="Z9" s="108"/>
      <c r="AA9" s="108"/>
      <c r="AB9" s="170">
        <f>SUM(R9:Z9)</f>
        <v>0</v>
      </c>
      <c r="AC9" s="182">
        <f t="shared" si="9"/>
        <v>0.35</v>
      </c>
    </row>
    <row r="10" spans="2:29">
      <c r="B10" s="9"/>
      <c r="C10" s="15" t="s">
        <v>38</v>
      </c>
      <c r="D10" s="14">
        <f>IF(OR(D4="圣骑",D4="战士"),3%,6%)</f>
        <v>0.06</v>
      </c>
      <c r="F10" s="87"/>
      <c r="G10" s="88"/>
      <c r="H10" s="90" t="s">
        <v>39</v>
      </c>
      <c r="I10" s="109">
        <f t="shared" ref="I10:M10" si="11">IF(I15=1,I24,IF(I15=2,P24,W24))</f>
        <v>0</v>
      </c>
      <c r="J10" s="109">
        <f t="shared" si="11"/>
        <v>0</v>
      </c>
      <c r="K10" s="109">
        <f t="shared" si="11"/>
        <v>0</v>
      </c>
      <c r="L10" s="109">
        <f t="shared" si="11"/>
        <v>0</v>
      </c>
      <c r="M10" s="109">
        <f t="shared" si="11"/>
        <v>0</v>
      </c>
      <c r="N10" s="109">
        <f t="shared" ref="N10:N12" si="12">IF(N$15=1,N24,IF(N$15=2,U24,AB24))</f>
        <v>0</v>
      </c>
      <c r="O10" s="109">
        <f t="shared" ref="O10:O12" si="13">IF(O15=1,O24,IF(O15=2,V24,AC24))</f>
        <v>0</v>
      </c>
      <c r="P10" s="144">
        <f t="shared" si="1"/>
        <v>0</v>
      </c>
      <c r="Q10" s="157">
        <f>MIN(SUM(I10:O10),40%)</f>
        <v>0</v>
      </c>
      <c r="R10" s="159">
        <v>0.1</v>
      </c>
      <c r="S10" s="160"/>
      <c r="T10" s="160"/>
      <c r="U10" s="163">
        <v>0</v>
      </c>
      <c r="V10" s="159">
        <v>0.04</v>
      </c>
      <c r="W10" s="160"/>
      <c r="X10" s="160"/>
      <c r="Y10" s="160"/>
      <c r="Z10" s="160"/>
      <c r="AA10" s="160">
        <f>D9</f>
        <v>0.06</v>
      </c>
      <c r="AB10" s="170">
        <f t="shared" si="7"/>
        <v>0.2</v>
      </c>
      <c r="AC10" s="182">
        <f t="shared" si="9"/>
        <v>0.2</v>
      </c>
    </row>
    <row r="11" ht="14.45" spans="2:29">
      <c r="B11" s="9" t="s">
        <v>11</v>
      </c>
      <c r="C11" s="16" t="s">
        <v>40</v>
      </c>
      <c r="D11" s="11">
        <v>190</v>
      </c>
      <c r="F11" s="87"/>
      <c r="G11" s="88"/>
      <c r="H11" s="91" t="s">
        <v>41</v>
      </c>
      <c r="I11" s="109">
        <f t="shared" ref="I11:M11" si="14">IF(I15=1,I25,IF(I15=2,P25,W25))</f>
        <v>0</v>
      </c>
      <c r="J11" s="109">
        <f t="shared" si="14"/>
        <v>0</v>
      </c>
      <c r="K11" s="109">
        <f t="shared" si="14"/>
        <v>0</v>
      </c>
      <c r="L11" s="109">
        <f t="shared" si="14"/>
        <v>0</v>
      </c>
      <c r="M11" s="109">
        <f t="shared" si="14"/>
        <v>0</v>
      </c>
      <c r="N11" s="109">
        <f t="shared" si="12"/>
        <v>0</v>
      </c>
      <c r="O11" s="109">
        <f>IF(O15=1,O25,IF(O15=2,V25,AC25))</f>
        <v>0</v>
      </c>
      <c r="P11" s="144">
        <f t="shared" si="1"/>
        <v>0</v>
      </c>
      <c r="Q11" s="157">
        <f t="shared" ref="Q11:Q14" si="15">SUM(I11:O11)</f>
        <v>0</v>
      </c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70">
        <f t="shared" ref="AB11:AB14" si="16">SUM(R11:X11)</f>
        <v>0</v>
      </c>
      <c r="AC11" s="182">
        <f t="shared" si="9"/>
        <v>0</v>
      </c>
    </row>
    <row r="12" spans="2:29">
      <c r="B12" s="9"/>
      <c r="C12" s="12" t="s">
        <v>42</v>
      </c>
      <c r="D12" s="13">
        <f>IF(D11=180,1,IF(D11=170,1.015,IF(D11=190,1.09664,0.34718)))</f>
        <v>1.09664</v>
      </c>
      <c r="F12" s="87"/>
      <c r="G12" s="88"/>
      <c r="H12" s="92" t="s">
        <v>43</v>
      </c>
      <c r="I12" s="109">
        <f>IF(I15=1,I26,IF(I15=2,P26,W26))</f>
        <v>0</v>
      </c>
      <c r="J12" s="109">
        <f t="shared" ref="J12:O12" si="17">IF(J15=1,J26,IF(J15=2,Q26,X26))</f>
        <v>0</v>
      </c>
      <c r="K12" s="109">
        <f t="shared" si="17"/>
        <v>0</v>
      </c>
      <c r="L12" s="109">
        <f t="shared" si="17"/>
        <v>0</v>
      </c>
      <c r="M12" s="109">
        <f t="shared" si="17"/>
        <v>0</v>
      </c>
      <c r="N12" s="109">
        <f t="shared" si="17"/>
        <v>0</v>
      </c>
      <c r="O12" s="109">
        <f t="shared" si="13"/>
        <v>0</v>
      </c>
      <c r="P12" s="144">
        <f t="shared" si="1"/>
        <v>0</v>
      </c>
      <c r="Q12" s="157">
        <f t="shared" si="15"/>
        <v>0</v>
      </c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70">
        <f t="shared" si="16"/>
        <v>0</v>
      </c>
      <c r="AC12" s="182">
        <f t="shared" si="9"/>
        <v>0</v>
      </c>
    </row>
    <row r="13" spans="2:29">
      <c r="B13" s="9"/>
      <c r="C13" s="12" t="s">
        <v>44</v>
      </c>
      <c r="D13" s="13">
        <f>IF(D11=90,1.3,IF(D11=180,IF(LEFT(D4,1)="战",2,IF(LEFT(D4,1)="法",2.2,IF(LEFT(D4,1)="射",1.8,2.4))),IF(LEFT(D4,1)="战",2.2,IF(LEFT(D4,1)="法",2.3,IF(LEFT(D4,1)="射",2,2.5)))))</f>
        <v>2</v>
      </c>
      <c r="F13" s="87"/>
      <c r="G13" s="88"/>
      <c r="H13" s="89" t="s">
        <v>45</v>
      </c>
      <c r="I13" s="108"/>
      <c r="J13" s="108"/>
      <c r="K13" s="108"/>
      <c r="L13" s="108"/>
      <c r="M13" s="108">
        <f>IF(M15=1,M27,IF(M15=2,T27,AA27))</f>
        <v>0</v>
      </c>
      <c r="N13" s="108"/>
      <c r="O13" s="108"/>
      <c r="P13" s="144">
        <f t="shared" si="1"/>
        <v>0</v>
      </c>
      <c r="Q13" s="157">
        <f t="shared" si="15"/>
        <v>0</v>
      </c>
      <c r="R13" s="158"/>
      <c r="S13" s="108"/>
      <c r="T13" s="108"/>
      <c r="U13" s="108"/>
      <c r="V13" s="108"/>
      <c r="W13" s="108"/>
      <c r="X13" s="108"/>
      <c r="Y13" s="108"/>
      <c r="Z13" s="108"/>
      <c r="AA13" s="108"/>
      <c r="AB13" s="170">
        <f t="shared" si="16"/>
        <v>0</v>
      </c>
      <c r="AC13" s="182">
        <f t="shared" si="9"/>
        <v>0</v>
      </c>
    </row>
    <row r="14" ht="14.1" spans="2:29">
      <c r="B14" s="9"/>
      <c r="C14" s="12" t="s">
        <v>46</v>
      </c>
      <c r="D14" s="17">
        <v>1.2</v>
      </c>
      <c r="F14" s="87"/>
      <c r="G14" s="88"/>
      <c r="H14" s="89" t="str">
        <f>H28</f>
        <v>四倍</v>
      </c>
      <c r="I14" s="108"/>
      <c r="J14" s="108"/>
      <c r="K14" s="108"/>
      <c r="L14" s="108"/>
      <c r="M14" s="108">
        <f>IF(M15=1,M28,IF(M15=2,T28,AA28))</f>
        <v>0</v>
      </c>
      <c r="N14" s="108"/>
      <c r="O14" s="108"/>
      <c r="P14" s="144">
        <f t="shared" si="1"/>
        <v>0</v>
      </c>
      <c r="Q14" s="157">
        <f t="shared" si="15"/>
        <v>0</v>
      </c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70">
        <f t="shared" si="16"/>
        <v>0</v>
      </c>
      <c r="AC14" s="182">
        <f t="shared" si="9"/>
        <v>0</v>
      </c>
    </row>
    <row r="15" ht="15.2" spans="2:29">
      <c r="B15" s="9" t="s">
        <v>47</v>
      </c>
      <c r="C15" s="16" t="s">
        <v>48</v>
      </c>
      <c r="D15" s="18">
        <v>1</v>
      </c>
      <c r="F15" s="93"/>
      <c r="G15" s="94"/>
      <c r="H15" s="95" t="s">
        <v>49</v>
      </c>
      <c r="I15" s="110">
        <v>2</v>
      </c>
      <c r="J15" s="110">
        <v>1</v>
      </c>
      <c r="K15" s="110">
        <v>1</v>
      </c>
      <c r="L15" s="110">
        <v>1</v>
      </c>
      <c r="M15" s="110">
        <v>1</v>
      </c>
      <c r="N15" s="110">
        <v>1</v>
      </c>
      <c r="O15" s="110">
        <v>1</v>
      </c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72" t="s">
        <v>50</v>
      </c>
      <c r="AA15" s="173"/>
      <c r="AB15" s="174"/>
      <c r="AC15" s="183">
        <f>I42</f>
        <v>294.569908969673</v>
      </c>
    </row>
    <row r="16" ht="14.45" spans="2:15">
      <c r="B16" s="9"/>
      <c r="C16" s="16" t="s">
        <v>51</v>
      </c>
      <c r="D16" s="19">
        <v>0</v>
      </c>
      <c r="H16" s="96" t="s">
        <v>52</v>
      </c>
      <c r="I16" s="96"/>
      <c r="J16" s="96"/>
      <c r="K16" s="96"/>
      <c r="L16" s="96"/>
      <c r="M16" s="96"/>
      <c r="N16" s="96"/>
      <c r="O16" s="96"/>
    </row>
    <row r="17" ht="16.35" spans="2:30">
      <c r="B17" s="20"/>
      <c r="C17" s="21"/>
      <c r="D17" s="22"/>
      <c r="F17" s="97"/>
      <c r="G17" s="98" t="s">
        <v>53</v>
      </c>
      <c r="H17" s="20" t="s">
        <v>54</v>
      </c>
      <c r="I17" s="111">
        <v>1</v>
      </c>
      <c r="J17" s="111"/>
      <c r="K17" s="111"/>
      <c r="L17" s="111"/>
      <c r="M17" s="111"/>
      <c r="N17" s="111"/>
      <c r="O17" s="111"/>
      <c r="P17" s="145">
        <v>2</v>
      </c>
      <c r="Q17" s="145"/>
      <c r="R17" s="145"/>
      <c r="S17" s="145"/>
      <c r="T17" s="145"/>
      <c r="U17" s="145"/>
      <c r="V17" s="145"/>
      <c r="W17" s="164">
        <v>3</v>
      </c>
      <c r="X17" s="164"/>
      <c r="Y17" s="164"/>
      <c r="Z17" s="164"/>
      <c r="AA17" s="164"/>
      <c r="AB17" s="164"/>
      <c r="AC17" s="164"/>
      <c r="AD17" s="97"/>
    </row>
    <row r="18" spans="2:30">
      <c r="B18" s="9" t="s">
        <v>29</v>
      </c>
      <c r="C18" s="23" t="s">
        <v>55</v>
      </c>
      <c r="D18" s="24">
        <f>MAX((1-AC5)*D13/(D6+D15-1),0.25)</f>
        <v>1.08</v>
      </c>
      <c r="F18" s="97"/>
      <c r="G18" s="98"/>
      <c r="H18" s="99"/>
      <c r="I18" s="100" t="s">
        <v>7</v>
      </c>
      <c r="J18" s="100" t="s">
        <v>8</v>
      </c>
      <c r="K18" s="100" t="s">
        <v>9</v>
      </c>
      <c r="L18" s="100" t="s">
        <v>10</v>
      </c>
      <c r="M18" s="100" t="s">
        <v>11</v>
      </c>
      <c r="N18" s="100" t="s">
        <v>12</v>
      </c>
      <c r="O18" s="100" t="s">
        <v>13</v>
      </c>
      <c r="P18" s="146" t="s">
        <v>7</v>
      </c>
      <c r="Q18" s="146" t="s">
        <v>8</v>
      </c>
      <c r="R18" s="146" t="s">
        <v>9</v>
      </c>
      <c r="S18" s="146" t="s">
        <v>10</v>
      </c>
      <c r="T18" s="146" t="s">
        <v>11</v>
      </c>
      <c r="U18" s="146" t="s">
        <v>12</v>
      </c>
      <c r="V18" s="146" t="s">
        <v>13</v>
      </c>
      <c r="W18" s="165" t="s">
        <v>7</v>
      </c>
      <c r="X18" s="165" t="s">
        <v>8</v>
      </c>
      <c r="Y18" s="165" t="s">
        <v>9</v>
      </c>
      <c r="Z18" s="165" t="s">
        <v>10</v>
      </c>
      <c r="AA18" s="165" t="s">
        <v>11</v>
      </c>
      <c r="AB18" s="165" t="s">
        <v>12</v>
      </c>
      <c r="AC18" s="165" t="s">
        <v>13</v>
      </c>
      <c r="AD18" s="97"/>
    </row>
    <row r="19" spans="2:30">
      <c r="B19" s="9"/>
      <c r="C19" s="23" t="s">
        <v>56</v>
      </c>
      <c r="D19" s="25">
        <f>1-0.25*(D15+D6-1)/D13-Q5-R5-S5-U5-V5-W5</f>
        <v>0.415</v>
      </c>
      <c r="E19" s="2" t="s">
        <v>57</v>
      </c>
      <c r="F19" s="97"/>
      <c r="G19" s="98"/>
      <c r="H19" s="100" t="s">
        <v>29</v>
      </c>
      <c r="I19" s="112"/>
      <c r="J19" s="112"/>
      <c r="K19" s="112"/>
      <c r="L19" s="112"/>
      <c r="M19" s="112"/>
      <c r="N19" s="112"/>
      <c r="O19" s="112"/>
      <c r="P19" s="147">
        <v>0.11</v>
      </c>
      <c r="Q19" s="148"/>
      <c r="R19" s="148"/>
      <c r="S19" s="148"/>
      <c r="T19" s="148"/>
      <c r="U19" s="148"/>
      <c r="V19" s="148"/>
      <c r="W19" s="166"/>
      <c r="X19" s="166"/>
      <c r="Y19" s="166"/>
      <c r="Z19" s="166"/>
      <c r="AA19" s="166"/>
      <c r="AB19" s="166"/>
      <c r="AC19" s="166"/>
      <c r="AD19" s="97"/>
    </row>
    <row r="20" spans="2:34">
      <c r="B20" s="20"/>
      <c r="C20" s="26"/>
      <c r="D20" s="27"/>
      <c r="F20" s="97"/>
      <c r="G20" s="98"/>
      <c r="H20" s="100" t="s">
        <v>31</v>
      </c>
      <c r="I20" s="113">
        <v>0.2</v>
      </c>
      <c r="J20" s="112"/>
      <c r="K20" s="112"/>
      <c r="L20" s="112"/>
      <c r="M20" s="112"/>
      <c r="N20" s="112"/>
      <c r="O20" s="112"/>
      <c r="P20" s="148"/>
      <c r="Q20" s="148"/>
      <c r="R20" s="148"/>
      <c r="S20" s="148"/>
      <c r="T20" s="148"/>
      <c r="U20" s="148"/>
      <c r="V20" s="148"/>
      <c r="W20" s="166"/>
      <c r="X20" s="166"/>
      <c r="Y20" s="166"/>
      <c r="Z20" s="166"/>
      <c r="AA20" s="166"/>
      <c r="AB20" s="166"/>
      <c r="AC20" s="166"/>
      <c r="AD20" s="97"/>
      <c r="AE20" s="184" t="s">
        <v>58</v>
      </c>
      <c r="AF20" s="184"/>
      <c r="AG20" s="184"/>
      <c r="AH20" s="184"/>
    </row>
    <row r="21" ht="20.35" spans="2:34">
      <c r="B21" s="28" t="s">
        <v>59</v>
      </c>
      <c r="C21" s="29"/>
      <c r="D21" s="30"/>
      <c r="F21" s="97"/>
      <c r="G21" s="98"/>
      <c r="H21" s="100" t="s">
        <v>33</v>
      </c>
      <c r="I21" s="113">
        <v>0.1</v>
      </c>
      <c r="J21" s="112"/>
      <c r="K21" s="112"/>
      <c r="L21" s="112"/>
      <c r="M21" s="112"/>
      <c r="N21" s="112"/>
      <c r="O21" s="112"/>
      <c r="P21" s="148">
        <v>0.26</v>
      </c>
      <c r="Q21" s="148"/>
      <c r="R21" s="148"/>
      <c r="S21" s="148"/>
      <c r="T21" s="148"/>
      <c r="U21" s="148"/>
      <c r="V21" s="148"/>
      <c r="W21" s="166"/>
      <c r="X21" s="166"/>
      <c r="Y21" s="166"/>
      <c r="Z21" s="166"/>
      <c r="AA21" s="166"/>
      <c r="AB21" s="166"/>
      <c r="AC21" s="166"/>
      <c r="AD21" s="97"/>
      <c r="AE21" s="184"/>
      <c r="AF21" s="184"/>
      <c r="AG21" s="184"/>
      <c r="AH21" s="184"/>
    </row>
    <row r="22" spans="2:34">
      <c r="B22" s="31" t="s">
        <v>60</v>
      </c>
      <c r="C22" s="32" t="s">
        <v>61</v>
      </c>
      <c r="D22" s="33">
        <v>0.415505</v>
      </c>
      <c r="F22" s="97"/>
      <c r="G22" s="98"/>
      <c r="H22" s="100" t="s">
        <v>35</v>
      </c>
      <c r="I22" s="113">
        <v>0.3</v>
      </c>
      <c r="J22" s="112"/>
      <c r="K22" s="112"/>
      <c r="L22" s="112"/>
      <c r="M22" s="112"/>
      <c r="N22" s="112"/>
      <c r="O22" s="112"/>
      <c r="P22" s="148"/>
      <c r="Q22" s="148"/>
      <c r="R22" s="148"/>
      <c r="S22" s="148"/>
      <c r="T22" s="148"/>
      <c r="U22" s="148"/>
      <c r="V22" s="148"/>
      <c r="W22" s="166"/>
      <c r="X22" s="166"/>
      <c r="Y22" s="166"/>
      <c r="Z22" s="166"/>
      <c r="AA22" s="166"/>
      <c r="AB22" s="166"/>
      <c r="AC22" s="166"/>
      <c r="AD22" s="97"/>
      <c r="AE22" s="184"/>
      <c r="AF22" s="184"/>
      <c r="AG22" s="184"/>
      <c r="AH22" s="184"/>
    </row>
    <row r="23" spans="2:34">
      <c r="B23" s="34"/>
      <c r="C23" s="35" t="s">
        <v>62</v>
      </c>
      <c r="D23" s="36" t="s">
        <v>63</v>
      </c>
      <c r="E23" s="2" t="s">
        <v>64</v>
      </c>
      <c r="F23" s="97"/>
      <c r="G23" s="98"/>
      <c r="H23" s="100" t="s">
        <v>37</v>
      </c>
      <c r="I23" s="112"/>
      <c r="J23" s="112"/>
      <c r="K23" s="112"/>
      <c r="L23" s="112"/>
      <c r="M23" s="112"/>
      <c r="N23" s="112"/>
      <c r="O23" s="112"/>
      <c r="P23" s="147">
        <v>0.35</v>
      </c>
      <c r="Q23" s="148"/>
      <c r="R23" s="148"/>
      <c r="S23" s="148"/>
      <c r="T23" s="148"/>
      <c r="U23" s="148"/>
      <c r="V23" s="148"/>
      <c r="W23" s="166"/>
      <c r="X23" s="166"/>
      <c r="Y23" s="166"/>
      <c r="Z23" s="166"/>
      <c r="AA23" s="166"/>
      <c r="AB23" s="166"/>
      <c r="AC23" s="166"/>
      <c r="AD23" s="97"/>
      <c r="AE23" s="184"/>
      <c r="AF23" s="184"/>
      <c r="AG23" s="184"/>
      <c r="AH23" s="184"/>
    </row>
    <row r="24" spans="2:34">
      <c r="B24" s="34"/>
      <c r="C24" s="37" t="s">
        <v>29</v>
      </c>
      <c r="D24" s="38">
        <f t="shared" ref="D24:D28" si="18">IF($D$23="自定义",AB39,IF(LEFT($D$23,1)="最",Y39,IF(LEFT($D$23,1)="中",Z39,AA39)))</f>
        <v>0.1</v>
      </c>
      <c r="F24" s="97"/>
      <c r="G24" s="98"/>
      <c r="H24" s="101" t="s">
        <v>39</v>
      </c>
      <c r="I24" s="114"/>
      <c r="J24" s="114"/>
      <c r="K24" s="114"/>
      <c r="L24" s="114"/>
      <c r="M24" s="114"/>
      <c r="N24" s="114"/>
      <c r="O24" s="114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97"/>
      <c r="AE24" s="184"/>
      <c r="AF24" s="184"/>
      <c r="AG24" s="184"/>
      <c r="AH24" s="184"/>
    </row>
    <row r="25" spans="2:34">
      <c r="B25" s="34"/>
      <c r="C25" s="37" t="s">
        <v>31</v>
      </c>
      <c r="D25" s="38">
        <f t="shared" si="18"/>
        <v>0.2</v>
      </c>
      <c r="F25" s="97"/>
      <c r="G25" s="98"/>
      <c r="H25" s="100" t="s">
        <v>41</v>
      </c>
      <c r="I25" s="115"/>
      <c r="J25" s="115"/>
      <c r="K25" s="115"/>
      <c r="L25" s="115"/>
      <c r="M25" s="115"/>
      <c r="N25" s="115"/>
      <c r="O25" s="115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97"/>
      <c r="AE25" s="185" t="s">
        <v>65</v>
      </c>
      <c r="AF25" s="185"/>
      <c r="AG25" s="185"/>
      <c r="AH25" s="185"/>
    </row>
    <row r="26" spans="2:34">
      <c r="B26" s="34"/>
      <c r="C26" s="37" t="s">
        <v>33</v>
      </c>
      <c r="D26" s="38">
        <f t="shared" si="18"/>
        <v>0.1</v>
      </c>
      <c r="F26" s="97"/>
      <c r="G26" s="98"/>
      <c r="H26" s="100" t="s">
        <v>43</v>
      </c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97"/>
      <c r="AE26" s="185"/>
      <c r="AF26" s="185"/>
      <c r="AG26" s="185"/>
      <c r="AH26" s="185"/>
    </row>
    <row r="27" spans="2:34">
      <c r="B27" s="34"/>
      <c r="C27" s="37" t="s">
        <v>35</v>
      </c>
      <c r="D27" s="38">
        <f t="shared" si="18"/>
        <v>0.3</v>
      </c>
      <c r="F27" s="97"/>
      <c r="G27" s="98"/>
      <c r="H27" s="100" t="s">
        <v>45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97"/>
      <c r="AE27" s="185"/>
      <c r="AF27" s="185"/>
      <c r="AG27" s="185"/>
      <c r="AH27" s="185"/>
    </row>
    <row r="28" ht="17.1" spans="2:34">
      <c r="B28" s="39"/>
      <c r="C28" s="37" t="s">
        <v>66</v>
      </c>
      <c r="D28" s="38">
        <f t="shared" si="18"/>
        <v>0.3</v>
      </c>
      <c r="F28" s="97"/>
      <c r="G28" s="98"/>
      <c r="H28" s="100" t="str">
        <f>IF(D4="射手",IF(OR(D11=190,D11=170),"四倍","大恶魔"),"大恶魔")</f>
        <v>四倍</v>
      </c>
      <c r="I28" s="118"/>
      <c r="J28" s="118"/>
      <c r="K28" s="118"/>
      <c r="L28" s="118"/>
      <c r="M28" s="149"/>
      <c r="N28" s="118"/>
      <c r="O28" s="118"/>
      <c r="P28" s="118"/>
      <c r="Q28" s="118"/>
      <c r="R28" s="118"/>
      <c r="S28" s="118"/>
      <c r="T28" s="118">
        <v>0</v>
      </c>
      <c r="U28" s="118"/>
      <c r="V28" s="118"/>
      <c r="W28" s="118"/>
      <c r="X28" s="118"/>
      <c r="Y28" s="118"/>
      <c r="Z28" s="118"/>
      <c r="AA28" s="118">
        <v>0</v>
      </c>
      <c r="AB28" s="118"/>
      <c r="AC28" s="118"/>
      <c r="AD28" s="97"/>
      <c r="AE28" s="185" t="s">
        <v>67</v>
      </c>
      <c r="AF28" s="185"/>
      <c r="AG28" s="185"/>
      <c r="AH28" s="185"/>
    </row>
    <row r="29" ht="14.1" spans="2:34">
      <c r="B29" s="40"/>
      <c r="D29" s="41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162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185"/>
      <c r="AF29" s="185"/>
      <c r="AG29" s="185"/>
      <c r="AH29" s="185"/>
    </row>
    <row r="30" spans="2:4">
      <c r="B30" s="31" t="s">
        <v>68</v>
      </c>
      <c r="C30" s="35" t="s">
        <v>69</v>
      </c>
      <c r="D30" s="42">
        <v>21</v>
      </c>
    </row>
    <row r="31" ht="15.4" spans="2:5">
      <c r="B31" s="34"/>
      <c r="C31" s="43" t="s">
        <v>70</v>
      </c>
      <c r="D31" s="44">
        <f>MAX(MIN(ROUND(D19/D24,0),7),0)</f>
        <v>4</v>
      </c>
      <c r="E31" s="2" t="s">
        <v>71</v>
      </c>
    </row>
    <row r="32" ht="15.4" spans="2:5">
      <c r="B32" s="34"/>
      <c r="C32" s="45" t="s">
        <v>72</v>
      </c>
      <c r="D32" s="46">
        <v>4</v>
      </c>
      <c r="E32" s="102" t="s">
        <v>64</v>
      </c>
    </row>
    <row r="33" ht="15.4" spans="2:5">
      <c r="B33" s="34"/>
      <c r="C33" s="47" t="s">
        <v>73</v>
      </c>
      <c r="D33" s="46">
        <v>2</v>
      </c>
      <c r="E33" s="102"/>
    </row>
    <row r="34" ht="14.1" spans="2:4">
      <c r="B34" s="39"/>
      <c r="C34" s="48" t="s">
        <v>74</v>
      </c>
      <c r="D34" s="49">
        <f>D30-D31-D32-D33-P5</f>
        <v>10</v>
      </c>
    </row>
    <row r="35" s="1" customFormat="1" ht="13" customHeight="1" spans="2:4">
      <c r="B35" s="50"/>
      <c r="D35" s="51"/>
    </row>
    <row r="36" ht="15.2" spans="2:28">
      <c r="B36" s="52" t="s">
        <v>75</v>
      </c>
      <c r="C36" s="53"/>
      <c r="D36" s="53"/>
      <c r="E36" s="53"/>
      <c r="F36" s="53"/>
      <c r="G36" s="53"/>
      <c r="H36" s="53"/>
      <c r="I36" s="53"/>
      <c r="J36" s="119"/>
      <c r="L36" s="120" t="s">
        <v>76</v>
      </c>
      <c r="M36" s="150" t="s">
        <v>77</v>
      </c>
      <c r="N36" s="150"/>
      <c r="O36" s="150"/>
      <c r="P36" s="150"/>
      <c r="Q36" s="150"/>
      <c r="R36" s="150"/>
      <c r="S36" s="150"/>
      <c r="T36" s="150"/>
      <c r="U36" s="152"/>
      <c r="W36" s="167" t="s">
        <v>78</v>
      </c>
      <c r="X36" s="26"/>
      <c r="Y36" s="26"/>
      <c r="Z36" s="26"/>
      <c r="AA36" s="26"/>
      <c r="AB36" s="26"/>
    </row>
    <row r="37" ht="16" customHeight="1" spans="2:28">
      <c r="B37" s="54" t="s">
        <v>74</v>
      </c>
      <c r="C37" s="26">
        <f>$D$34</f>
        <v>10</v>
      </c>
      <c r="D37" s="27"/>
      <c r="E37" s="26"/>
      <c r="F37" s="26"/>
      <c r="G37" s="26"/>
      <c r="H37" s="20" t="s">
        <v>3</v>
      </c>
      <c r="I37" s="27" t="str">
        <f>D4</f>
        <v>射手</v>
      </c>
      <c r="J37" s="121"/>
      <c r="L37" s="122"/>
      <c r="M37" s="151" t="s">
        <v>79</v>
      </c>
      <c r="N37" s="150"/>
      <c r="O37" s="150"/>
      <c r="P37" s="152"/>
      <c r="Q37" s="154"/>
      <c r="R37" s="151" t="s">
        <v>80</v>
      </c>
      <c r="S37" s="150"/>
      <c r="T37" s="150"/>
      <c r="U37" s="152"/>
      <c r="W37" s="27" t="s">
        <v>81</v>
      </c>
      <c r="X37" s="27"/>
      <c r="Y37" s="27"/>
      <c r="Z37" s="27"/>
      <c r="AA37" s="27"/>
      <c r="AB37" s="26"/>
    </row>
    <row r="38" spans="2:28">
      <c r="B38" s="40"/>
      <c r="F38" s="2"/>
      <c r="J38" s="41"/>
      <c r="L38" s="123" t="s">
        <v>82</v>
      </c>
      <c r="M38" s="138" t="s">
        <v>83</v>
      </c>
      <c r="N38" t="s">
        <v>84</v>
      </c>
      <c r="O38" t="s">
        <v>85</v>
      </c>
      <c r="P38" s="41" t="s">
        <v>75</v>
      </c>
      <c r="R38" s="138" t="s">
        <v>83</v>
      </c>
      <c r="S38" t="s">
        <v>84</v>
      </c>
      <c r="T38" t="s">
        <v>85</v>
      </c>
      <c r="U38" s="41" t="s">
        <v>75</v>
      </c>
      <c r="W38" s="26"/>
      <c r="X38" s="26" t="s">
        <v>86</v>
      </c>
      <c r="Y38" s="26" t="s">
        <v>87</v>
      </c>
      <c r="Z38" s="26" t="s">
        <v>88</v>
      </c>
      <c r="AA38" s="26" t="s">
        <v>89</v>
      </c>
      <c r="AB38" s="175" t="s">
        <v>63</v>
      </c>
    </row>
    <row r="39" spans="2:28">
      <c r="B39" s="40" t="s">
        <v>90</v>
      </c>
      <c r="C39" s="55">
        <f>$AB$6</f>
        <v>0.7</v>
      </c>
      <c r="D39" s="56">
        <f>$AB$7</f>
        <v>0.25</v>
      </c>
      <c r="E39" s="55">
        <f>$AB$8</f>
        <v>0</v>
      </c>
      <c r="F39" s="55">
        <f>$AB$9</f>
        <v>0</v>
      </c>
      <c r="J39" s="41"/>
      <c r="L39" s="123"/>
      <c r="M39" s="138" t="s">
        <v>79</v>
      </c>
      <c r="N39">
        <v>7</v>
      </c>
      <c r="O39">
        <v>700</v>
      </c>
      <c r="P39" s="41">
        <v>435.84198725625</v>
      </c>
      <c r="R39" s="138" t="s">
        <v>80</v>
      </c>
      <c r="S39">
        <v>7</v>
      </c>
      <c r="T39">
        <v>2005</v>
      </c>
      <c r="U39" s="41">
        <v>643.461674344922</v>
      </c>
      <c r="W39" s="161" t="s">
        <v>29</v>
      </c>
      <c r="X39" s="168">
        <v>0.05</v>
      </c>
      <c r="Y39" s="168">
        <v>0.12</v>
      </c>
      <c r="Z39" s="168">
        <f t="shared" ref="Z39:Z43" si="19">MEDIAN(X39:Y39)</f>
        <v>0.085</v>
      </c>
      <c r="AA39" s="176">
        <f t="shared" ref="AA39:AA43" si="20">IF(P5=0,0,AVERAGEIF(I5:O5,"&gt;0"))</f>
        <v>0.11</v>
      </c>
      <c r="AB39" s="177">
        <v>0.1</v>
      </c>
    </row>
    <row r="40" spans="2:28">
      <c r="B40" s="40" t="s">
        <v>91</v>
      </c>
      <c r="C40" s="55">
        <f>$D$25</f>
        <v>0.2</v>
      </c>
      <c r="D40" s="56">
        <f>$D$26</f>
        <v>0.1</v>
      </c>
      <c r="E40" s="55">
        <f>$D$27</f>
        <v>0.3</v>
      </c>
      <c r="F40" s="55">
        <f>$D$28</f>
        <v>0.3</v>
      </c>
      <c r="J40" s="41"/>
      <c r="L40" s="123"/>
      <c r="M40" s="138"/>
      <c r="N40">
        <v>8</v>
      </c>
      <c r="O40">
        <v>710</v>
      </c>
      <c r="P40" s="41">
        <v>453.072949543125</v>
      </c>
      <c r="R40" s="138"/>
      <c r="S40">
        <v>8</v>
      </c>
      <c r="T40">
        <v>2006</v>
      </c>
      <c r="U40" s="41">
        <v>717.967762953281</v>
      </c>
      <c r="W40" s="161" t="s">
        <v>31</v>
      </c>
      <c r="X40" s="168">
        <v>0.11</v>
      </c>
      <c r="Y40" s="168">
        <v>0.23</v>
      </c>
      <c r="Z40" s="168">
        <f t="shared" si="19"/>
        <v>0.17</v>
      </c>
      <c r="AA40" s="176">
        <f t="shared" si="20"/>
        <v>0</v>
      </c>
      <c r="AB40" s="177">
        <v>0.2</v>
      </c>
    </row>
    <row r="41" spans="2:28">
      <c r="B41" s="57" t="s">
        <v>92</v>
      </c>
      <c r="C41" s="16" t="s">
        <v>31</v>
      </c>
      <c r="D41" s="58" t="s">
        <v>33</v>
      </c>
      <c r="E41" s="16" t="s">
        <v>35</v>
      </c>
      <c r="F41" s="16" t="s">
        <v>66</v>
      </c>
      <c r="G41" s="16" t="s">
        <v>29</v>
      </c>
      <c r="H41" s="16" t="s">
        <v>39</v>
      </c>
      <c r="I41" s="124" t="s">
        <v>75</v>
      </c>
      <c r="J41" s="125"/>
      <c r="L41" s="123"/>
      <c r="M41" s="138"/>
      <c r="N41">
        <v>9</v>
      </c>
      <c r="O41">
        <v>711</v>
      </c>
      <c r="P41" s="41">
        <v>479.274148079344</v>
      </c>
      <c r="R41" s="138"/>
      <c r="S41">
        <v>9</v>
      </c>
      <c r="T41">
        <v>3006</v>
      </c>
      <c r="U41" s="41">
        <v>805.370463608438</v>
      </c>
      <c r="W41" s="161" t="s">
        <v>33</v>
      </c>
      <c r="X41" s="168">
        <v>0.05</v>
      </c>
      <c r="Y41" s="168">
        <v>0.12</v>
      </c>
      <c r="Z41" s="168">
        <f t="shared" si="19"/>
        <v>0.085</v>
      </c>
      <c r="AA41" s="176">
        <f t="shared" si="20"/>
        <v>0.26</v>
      </c>
      <c r="AB41" s="177">
        <v>0.1</v>
      </c>
    </row>
    <row r="42" ht="17" customHeight="1" spans="2:28">
      <c r="B42" s="59" t="s">
        <v>93</v>
      </c>
      <c r="C42" s="60">
        <f>$P$6</f>
        <v>0</v>
      </c>
      <c r="D42" s="60">
        <f>$P$7</f>
        <v>1</v>
      </c>
      <c r="E42" s="60">
        <f>P8</f>
        <v>0</v>
      </c>
      <c r="F42" s="60">
        <f>$P$9</f>
        <v>1</v>
      </c>
      <c r="G42" s="60">
        <f>P5</f>
        <v>1</v>
      </c>
      <c r="H42" s="60">
        <f>P10</f>
        <v>0</v>
      </c>
      <c r="I42" s="126">
        <f>IF(I37="战士",(((1-D49)+D49*(1.5+E49))*(1+C49))*(1+$D$8)*(1+F49)*2*(1+$AC$13)*(1+$AC$14)*(1+$D$16),IF($I$37="法师",($D$7+$D$8)*I49*5,IF($I$37="射手",IF($H$14="四倍",($D$7*I49)*(1+300%*$AC$14)+($D$8*I49*5),($D$7*I49)+($D$8*I49*5)),($D$7+$D$8)*I49*5)))</f>
        <v>294.569908969673</v>
      </c>
      <c r="J42" s="127"/>
      <c r="L42" s="123"/>
      <c r="M42" s="138"/>
      <c r="N42">
        <v>10</v>
      </c>
      <c r="O42">
        <v>721</v>
      </c>
      <c r="P42" s="41">
        <v>505.982139624</v>
      </c>
      <c r="R42" s="138"/>
      <c r="S42">
        <v>10</v>
      </c>
      <c r="T42">
        <v>3007</v>
      </c>
      <c r="U42" s="41">
        <v>888.946643794219</v>
      </c>
      <c r="W42" s="161" t="s">
        <v>35</v>
      </c>
      <c r="X42" s="168">
        <v>0.2</v>
      </c>
      <c r="Y42" s="168">
        <v>0.35</v>
      </c>
      <c r="Z42" s="168">
        <f t="shared" si="19"/>
        <v>0.275</v>
      </c>
      <c r="AA42" s="176">
        <f t="shared" si="20"/>
        <v>0</v>
      </c>
      <c r="AB42" s="177">
        <v>0.3</v>
      </c>
    </row>
    <row r="43" ht="17" customHeight="1" spans="2:28">
      <c r="B43" s="61" t="s">
        <v>63</v>
      </c>
      <c r="C43" s="60"/>
      <c r="D43" s="60"/>
      <c r="E43" s="60">
        <v>0</v>
      </c>
      <c r="F43" s="60">
        <v>0</v>
      </c>
      <c r="G43" s="60">
        <v>0</v>
      </c>
      <c r="H43" s="60">
        <v>0</v>
      </c>
      <c r="I43" s="126">
        <f>IF(I38="战士",(((1-D50)+D50*(1.5+E50))*(1+C50))*(1+$D$8)*(1+F50)*2*(1+$AC$13)*(1+$AC$14)*(1+$D$16),IF($I$37="法师",($D$7+$D$8)*I50*5,IF($I$37="射手",IF($H$14="四倍",($D$7*I50)*(1+3*$AC$14)+($D$8*I50*5),$D$7*I50+$D$8*I50*5),($D$7+$D$8)*I50*5)))</f>
        <v>216.950014789448</v>
      </c>
      <c r="J43" s="127"/>
      <c r="L43" s="123"/>
      <c r="M43" s="138"/>
      <c r="N43">
        <v>11</v>
      </c>
      <c r="O43">
        <v>722</v>
      </c>
      <c r="P43" s="41">
        <v>541.660367418</v>
      </c>
      <c r="R43" s="138"/>
      <c r="S43">
        <v>11</v>
      </c>
      <c r="T43">
        <v>4007</v>
      </c>
      <c r="U43" s="41">
        <v>985.419436026797</v>
      </c>
      <c r="W43" s="161" t="s">
        <v>66</v>
      </c>
      <c r="X43" s="168">
        <v>0.2</v>
      </c>
      <c r="Y43" s="168">
        <v>0.35</v>
      </c>
      <c r="Z43" s="168">
        <f t="shared" si="19"/>
        <v>0.275</v>
      </c>
      <c r="AA43" s="176">
        <f t="shared" si="20"/>
        <v>0.35</v>
      </c>
      <c r="AB43" s="177">
        <v>0.3</v>
      </c>
    </row>
    <row r="44" spans="2:21">
      <c r="B44" s="62"/>
      <c r="C44" s="63"/>
      <c r="D44" s="60"/>
      <c r="E44" s="63"/>
      <c r="F44" s="63"/>
      <c r="G44" s="63"/>
      <c r="H44" s="63"/>
      <c r="I44" s="126"/>
      <c r="J44" s="127"/>
      <c r="L44" s="123"/>
      <c r="M44" s="138"/>
      <c r="N44">
        <v>12</v>
      </c>
      <c r="O44">
        <v>723</v>
      </c>
      <c r="P44" s="41">
        <v>577.338595212</v>
      </c>
      <c r="R44" s="138"/>
      <c r="S44">
        <v>12</v>
      </c>
      <c r="T44">
        <v>5007</v>
      </c>
      <c r="U44" s="41">
        <v>1081.89222825937</v>
      </c>
    </row>
    <row r="45" spans="2:21">
      <c r="B45" s="62"/>
      <c r="C45" s="63"/>
      <c r="D45" s="60"/>
      <c r="E45" s="63"/>
      <c r="F45" s="63"/>
      <c r="G45" s="63"/>
      <c r="H45" s="63"/>
      <c r="I45" s="126"/>
      <c r="J45" s="127"/>
      <c r="L45" s="123"/>
      <c r="M45" s="138"/>
      <c r="N45">
        <v>13</v>
      </c>
      <c r="O45">
        <v>733</v>
      </c>
      <c r="P45" s="41">
        <v>623.000645272219</v>
      </c>
      <c r="R45" s="138"/>
      <c r="S45">
        <v>13</v>
      </c>
      <c r="T45">
        <v>6007</v>
      </c>
      <c r="U45" s="41">
        <v>1178.36502049195</v>
      </c>
    </row>
    <row r="46" spans="2:21">
      <c r="B46" s="40"/>
      <c r="J46" s="41"/>
      <c r="L46" s="123"/>
      <c r="M46" s="138"/>
      <c r="P46" s="41"/>
      <c r="R46" s="138"/>
      <c r="S46">
        <v>14</v>
      </c>
      <c r="T46">
        <v>7007</v>
      </c>
      <c r="U46" s="41">
        <v>2815.2134140783</v>
      </c>
    </row>
    <row r="47" spans="2:21">
      <c r="B47" s="64" t="s">
        <v>94</v>
      </c>
      <c r="C47" s="65"/>
      <c r="D47" s="66" t="s">
        <v>95</v>
      </c>
      <c r="E47" s="103">
        <v>0.2</v>
      </c>
      <c r="F47" s="104"/>
      <c r="G47" s="104"/>
      <c r="H47" s="104"/>
      <c r="I47" s="128"/>
      <c r="J47" s="129"/>
      <c r="L47" s="123"/>
      <c r="M47" s="138"/>
      <c r="P47" s="41"/>
      <c r="R47" s="138"/>
      <c r="S47">
        <v>15</v>
      </c>
      <c r="T47">
        <v>7017</v>
      </c>
      <c r="U47" s="41">
        <v>2962.09411394326</v>
      </c>
    </row>
    <row r="48" spans="2:21">
      <c r="B48" s="64" t="s">
        <v>96</v>
      </c>
      <c r="C48" s="65" t="s">
        <v>97</v>
      </c>
      <c r="D48" s="67" t="s">
        <v>98</v>
      </c>
      <c r="E48" s="65" t="s">
        <v>99</v>
      </c>
      <c r="F48" s="65" t="s">
        <v>100</v>
      </c>
      <c r="G48" s="65"/>
      <c r="H48" s="65"/>
      <c r="I48" s="130" t="s">
        <v>101</v>
      </c>
      <c r="J48" s="131"/>
      <c r="L48" s="123"/>
      <c r="M48" s="138"/>
      <c r="P48" s="41"/>
      <c r="R48" s="138"/>
      <c r="S48">
        <v>16</v>
      </c>
      <c r="T48">
        <v>7117</v>
      </c>
      <c r="U48" s="41">
        <v>3133</v>
      </c>
    </row>
    <row r="49" ht="14.1" spans="2:21">
      <c r="B49" s="64">
        <f>SUM(C42:H42)</f>
        <v>3</v>
      </c>
      <c r="C49" s="68">
        <f>IF(I37="战士",($C$39+C42*$C$40+$D$7)*$D$12,((1+$D$22)*($C$39+$C$40*C42))*$D$12)</f>
        <v>1.08660958224</v>
      </c>
      <c r="D49" s="69">
        <f>IF(D11=90,100%,$D$39+(MIN($D$40*D42,50%)))</f>
        <v>0.35</v>
      </c>
      <c r="E49" s="68">
        <f>$E$39+$E$40*E42</f>
        <v>0</v>
      </c>
      <c r="F49" s="67">
        <f>$F$39+$F$40*F42</f>
        <v>0.3</v>
      </c>
      <c r="G49" s="67"/>
      <c r="H49" s="67"/>
      <c r="I49" s="132">
        <f>(1+C49)*((1-D49)+D49*(1.5+E49))*(1+F49)*(1+$AC$13)</f>
        <v>3.1872961368716</v>
      </c>
      <c r="J49" s="133"/>
      <c r="L49" s="134"/>
      <c r="M49" s="141"/>
      <c r="N49" s="110"/>
      <c r="O49" s="110"/>
      <c r="P49" s="153"/>
      <c r="R49" s="141"/>
      <c r="S49" s="110">
        <v>17</v>
      </c>
      <c r="T49" s="110">
        <v>5237</v>
      </c>
      <c r="U49" s="153">
        <v>3346.94785399327</v>
      </c>
    </row>
    <row r="50" ht="14.1" spans="2:10">
      <c r="B50" s="64">
        <f>SUM(C43:H43)</f>
        <v>0</v>
      </c>
      <c r="C50" s="68">
        <f>IF($I$37="战士",($C$39+C43*$C$40+$D$7)*$D$12,((1+$D$22)*($C$39+$C$40*C43))*$D$12)</f>
        <v>1.08660958224</v>
      </c>
      <c r="D50" s="69">
        <f>IF(D11=90,100%,$D$39+(MIN($D$40*D43,50%)))</f>
        <v>0.25</v>
      </c>
      <c r="E50" s="68">
        <f>$E$39+$E$40*E43</f>
        <v>0</v>
      </c>
      <c r="F50" s="67">
        <f>$F$39+$F$40*F43</f>
        <v>0</v>
      </c>
      <c r="G50" s="67"/>
      <c r="H50" s="67"/>
      <c r="I50" s="132">
        <f>(1+C50)*((1-D50)+D50*(1.5+E50))*(1+F50)*(1+$AC$13)</f>
        <v>2.34743578002</v>
      </c>
      <c r="J50" s="133"/>
    </row>
    <row r="51" spans="2:21">
      <c r="B51" s="64"/>
      <c r="C51" s="70"/>
      <c r="D51" s="68"/>
      <c r="E51" s="70"/>
      <c r="F51" s="65"/>
      <c r="G51" s="65"/>
      <c r="H51" s="65"/>
      <c r="I51" s="67"/>
      <c r="J51" s="135"/>
      <c r="L51" s="136" t="s">
        <v>4</v>
      </c>
      <c r="M51" s="136" t="s">
        <v>83</v>
      </c>
      <c r="N51" s="154" t="s">
        <v>84</v>
      </c>
      <c r="O51" s="154" t="s">
        <v>85</v>
      </c>
      <c r="P51" s="155" t="s">
        <v>75</v>
      </c>
      <c r="Q51" s="154"/>
      <c r="R51" s="136" t="s">
        <v>83</v>
      </c>
      <c r="S51" s="154" t="s">
        <v>84</v>
      </c>
      <c r="T51" s="154" t="s">
        <v>85</v>
      </c>
      <c r="U51" s="155" t="s">
        <v>75</v>
      </c>
    </row>
    <row r="52" ht="14.1" spans="2:21">
      <c r="B52" s="71"/>
      <c r="C52" s="72"/>
      <c r="D52" s="73"/>
      <c r="E52" s="72"/>
      <c r="F52" s="72"/>
      <c r="G52" s="72"/>
      <c r="H52" s="72"/>
      <c r="I52" s="73"/>
      <c r="J52" s="137"/>
      <c r="L52" s="138"/>
      <c r="M52" s="138" t="s">
        <v>79</v>
      </c>
      <c r="N52">
        <v>7</v>
      </c>
      <c r="O52">
        <v>700</v>
      </c>
      <c r="P52" s="41">
        <v>315.92561931155</v>
      </c>
      <c r="R52" s="138" t="s">
        <v>80</v>
      </c>
      <c r="S52">
        <v>7</v>
      </c>
      <c r="T52">
        <v>3004</v>
      </c>
      <c r="U52" s="41">
        <v>462.620526283545</v>
      </c>
    </row>
    <row r="53" spans="12:22">
      <c r="L53" s="138"/>
      <c r="M53" s="138"/>
      <c r="N53">
        <v>8</v>
      </c>
      <c r="O53">
        <v>710</v>
      </c>
      <c r="P53" s="41">
        <v>328.415701935495</v>
      </c>
      <c r="R53" s="138"/>
      <c r="S53">
        <v>8</v>
      </c>
      <c r="T53">
        <v>3005</v>
      </c>
      <c r="U53" s="41">
        <v>523.201785677819</v>
      </c>
      <c r="V53" s="169"/>
    </row>
    <row r="54" spans="2:23">
      <c r="B54" s="74" t="s">
        <v>102</v>
      </c>
      <c r="C54" s="75"/>
      <c r="D54" s="75"/>
      <c r="E54" s="75"/>
      <c r="F54" s="75"/>
      <c r="G54" s="105"/>
      <c r="H54" s="105"/>
      <c r="I54" s="75"/>
      <c r="J54" s="139"/>
      <c r="L54" s="138"/>
      <c r="M54" s="138"/>
      <c r="N54">
        <v>9</v>
      </c>
      <c r="O54">
        <v>711</v>
      </c>
      <c r="P54" s="41">
        <v>347.407974631317</v>
      </c>
      <c r="R54" s="138"/>
      <c r="S54">
        <v>9</v>
      </c>
      <c r="T54">
        <v>3006</v>
      </c>
      <c r="U54" s="41">
        <v>583.783045072093</v>
      </c>
      <c r="V54" s="169"/>
      <c r="W54" s="169"/>
    </row>
    <row r="55" spans="2:21">
      <c r="B55" s="76" t="s">
        <v>103</v>
      </c>
      <c r="C55" s="77">
        <v>0.2</v>
      </c>
      <c r="J55" s="140"/>
      <c r="L55" s="138"/>
      <c r="M55" s="138"/>
      <c r="N55">
        <v>10</v>
      </c>
      <c r="O55">
        <v>721</v>
      </c>
      <c r="P55" s="41">
        <v>366.767602698432</v>
      </c>
      <c r="R55" s="138"/>
      <c r="S55">
        <v>10</v>
      </c>
      <c r="T55">
        <v>4006</v>
      </c>
      <c r="U55" s="41">
        <v>647.138006597971</v>
      </c>
    </row>
    <row r="56" spans="2:21">
      <c r="B56" s="76" t="s">
        <v>104</v>
      </c>
      <c r="C56" s="78">
        <f>IF(I37="圣骑",300%,IF(I37="射手",400%,0))</f>
        <v>4</v>
      </c>
      <c r="J56" s="140"/>
      <c r="L56" s="138"/>
      <c r="M56" s="138"/>
      <c r="N56">
        <v>11</v>
      </c>
      <c r="O56">
        <v>722</v>
      </c>
      <c r="P56" s="41">
        <v>392.629420837424</v>
      </c>
      <c r="R56" s="138"/>
      <c r="S56">
        <v>11</v>
      </c>
      <c r="T56">
        <v>4007</v>
      </c>
      <c r="U56" s="41">
        <v>714.293837471346</v>
      </c>
    </row>
    <row r="57" spans="2:21">
      <c r="B57" s="76"/>
      <c r="C57" s="3" t="s">
        <v>105</v>
      </c>
      <c r="D57" s="3" t="s">
        <v>106</v>
      </c>
      <c r="E57" t="s">
        <v>107</v>
      </c>
      <c r="F57" t="s">
        <v>108</v>
      </c>
      <c r="J57" s="140"/>
      <c r="L57" s="138"/>
      <c r="M57" s="138"/>
      <c r="N57">
        <v>12</v>
      </c>
      <c r="O57">
        <v>723</v>
      </c>
      <c r="P57" s="41">
        <v>418.491238976416</v>
      </c>
      <c r="R57" s="138"/>
      <c r="S57">
        <v>12</v>
      </c>
      <c r="T57">
        <v>5007</v>
      </c>
      <c r="U57" s="41">
        <v>784.223370476325</v>
      </c>
    </row>
    <row r="58" ht="14.1" spans="2:21">
      <c r="B58" s="76"/>
      <c r="C58">
        <f>IF($I$37="射手",((1-$C$55)+$C$56*$C$55)*$I$50*1,IF($I$37="圣骑",$I$50*$C$56*1,0))</f>
        <v>3.755897248032</v>
      </c>
      <c r="D58" s="3">
        <f>IF($I$37="射手",7.2,IF($I$37="圣骑",8,0))</f>
        <v>7.2</v>
      </c>
      <c r="E58">
        <f>1/D58</f>
        <v>0.138888888888889</v>
      </c>
      <c r="F58">
        <f>E58*C58</f>
        <v>0.521652395560001</v>
      </c>
      <c r="J58" s="140"/>
      <c r="L58" s="141"/>
      <c r="M58" s="141"/>
      <c r="N58" s="110">
        <v>13</v>
      </c>
      <c r="O58" s="110">
        <v>733</v>
      </c>
      <c r="P58" s="153">
        <v>451.58995792987</v>
      </c>
      <c r="Q58" s="110"/>
      <c r="R58" s="141"/>
      <c r="S58" s="110">
        <v>13</v>
      </c>
      <c r="T58" s="110">
        <v>6007</v>
      </c>
      <c r="U58" s="153">
        <v>854.152903481305</v>
      </c>
    </row>
    <row r="59" ht="14.1" spans="2:21">
      <c r="B59" s="76"/>
      <c r="J59" s="140"/>
      <c r="L59" s="138"/>
      <c r="U59" s="41"/>
    </row>
    <row r="60" spans="2:21">
      <c r="B60" s="76"/>
      <c r="J60" s="140"/>
      <c r="L60" s="136" t="s">
        <v>109</v>
      </c>
      <c r="M60" s="136" t="s">
        <v>83</v>
      </c>
      <c r="N60" s="154" t="s">
        <v>84</v>
      </c>
      <c r="O60" s="154" t="s">
        <v>85</v>
      </c>
      <c r="P60" s="155" t="s">
        <v>75</v>
      </c>
      <c r="Q60" s="154"/>
      <c r="R60" s="136" t="s">
        <v>83</v>
      </c>
      <c r="S60" s="154" t="s">
        <v>84</v>
      </c>
      <c r="T60" s="154" t="s">
        <v>85</v>
      </c>
      <c r="U60" s="155" t="s">
        <v>75</v>
      </c>
    </row>
    <row r="61" spans="2:21">
      <c r="B61" s="79"/>
      <c r="C61" s="80"/>
      <c r="D61" s="81"/>
      <c r="E61" s="80"/>
      <c r="F61" s="80"/>
      <c r="G61" s="80"/>
      <c r="H61" s="80"/>
      <c r="I61" s="80" t="s">
        <v>110</v>
      </c>
      <c r="J61" s="142"/>
      <c r="L61" s="138"/>
      <c r="M61" s="138" t="s">
        <v>79</v>
      </c>
      <c r="N61">
        <v>7</v>
      </c>
      <c r="O61">
        <v>700</v>
      </c>
      <c r="P61" s="41">
        <v>309.980896494</v>
      </c>
      <c r="R61" s="138" t="s">
        <v>80</v>
      </c>
      <c r="S61">
        <v>7</v>
      </c>
      <c r="T61">
        <v>1006</v>
      </c>
      <c r="U61" s="41">
        <v>485.8230051933</v>
      </c>
    </row>
    <row r="62" spans="12:21">
      <c r="L62" s="138"/>
      <c r="M62" s="138"/>
      <c r="N62">
        <v>8</v>
      </c>
      <c r="O62">
        <v>710</v>
      </c>
      <c r="P62" s="41">
        <v>322.2359551926</v>
      </c>
      <c r="R62" s="138"/>
      <c r="S62">
        <v>8</v>
      </c>
      <c r="T62">
        <v>2006</v>
      </c>
      <c r="U62" s="41">
        <v>541.7607336126</v>
      </c>
    </row>
    <row r="63" spans="12:21">
      <c r="L63" s="138"/>
      <c r="M63" s="138"/>
      <c r="N63">
        <v>9</v>
      </c>
      <c r="O63">
        <v>711</v>
      </c>
      <c r="P63" s="41">
        <v>340.87085327253</v>
      </c>
      <c r="R63" s="138"/>
      <c r="S63">
        <v>9</v>
      </c>
      <c r="T63">
        <v>2007</v>
      </c>
      <c r="U63" s="41">
        <v>597.9811871007</v>
      </c>
    </row>
    <row r="64" spans="12:21">
      <c r="L64" s="138"/>
      <c r="M64" s="138"/>
      <c r="N64">
        <v>10</v>
      </c>
      <c r="O64">
        <v>712</v>
      </c>
      <c r="P64" s="41">
        <v>359.50575135246</v>
      </c>
      <c r="R64" s="138"/>
      <c r="S64">
        <v>10</v>
      </c>
      <c r="T64">
        <v>3007</v>
      </c>
      <c r="U64" s="41">
        <v>659.72377412955</v>
      </c>
    </row>
    <row r="65" spans="12:21">
      <c r="L65" s="138"/>
      <c r="M65" s="138"/>
      <c r="N65">
        <v>11</v>
      </c>
      <c r="O65">
        <v>632</v>
      </c>
      <c r="P65" s="41">
        <v>385.24137461952</v>
      </c>
      <c r="R65" s="138"/>
      <c r="S65">
        <v>11</v>
      </c>
      <c r="T65">
        <v>4007</v>
      </c>
      <c r="U65" s="41">
        <v>721.4663611584</v>
      </c>
    </row>
    <row r="66" spans="12:21">
      <c r="L66" s="138"/>
      <c r="M66" s="138"/>
      <c r="N66">
        <v>12</v>
      </c>
      <c r="O66">
        <v>633</v>
      </c>
      <c r="P66" s="41">
        <v>412.91946819366</v>
      </c>
      <c r="R66" s="138"/>
      <c r="S66">
        <v>12</v>
      </c>
      <c r="T66">
        <v>5007</v>
      </c>
      <c r="U66" s="41">
        <v>783.20894818725</v>
      </c>
    </row>
    <row r="67" ht="14.1" spans="12:21">
      <c r="L67" s="141"/>
      <c r="M67" s="141"/>
      <c r="N67" s="110">
        <v>13</v>
      </c>
      <c r="O67" s="110">
        <v>643</v>
      </c>
      <c r="P67" s="153">
        <v>443.18388215628</v>
      </c>
      <c r="Q67" s="110"/>
      <c r="R67" s="141"/>
      <c r="S67" s="110">
        <v>13</v>
      </c>
      <c r="T67" s="110">
        <v>6007</v>
      </c>
      <c r="U67" s="153">
        <v>844.9515352161</v>
      </c>
    </row>
  </sheetData>
  <mergeCells count="38">
    <mergeCell ref="B3:D3"/>
    <mergeCell ref="G3:AC3"/>
    <mergeCell ref="Z15:AB15"/>
    <mergeCell ref="H16:O16"/>
    <mergeCell ref="I17:O17"/>
    <mergeCell ref="P17:V17"/>
    <mergeCell ref="W17:AC17"/>
    <mergeCell ref="B21:D21"/>
    <mergeCell ref="B36:J36"/>
    <mergeCell ref="M36:U36"/>
    <mergeCell ref="I37:J37"/>
    <mergeCell ref="M37:P37"/>
    <mergeCell ref="R37:U37"/>
    <mergeCell ref="W37:AA37"/>
    <mergeCell ref="I41:J41"/>
    <mergeCell ref="I42:J42"/>
    <mergeCell ref="I43:J43"/>
    <mergeCell ref="I44:J44"/>
    <mergeCell ref="I45:J45"/>
    <mergeCell ref="I48:J48"/>
    <mergeCell ref="I49:J49"/>
    <mergeCell ref="I50:J50"/>
    <mergeCell ref="I51:J51"/>
    <mergeCell ref="I52:J52"/>
    <mergeCell ref="B4:B10"/>
    <mergeCell ref="B11:B14"/>
    <mergeCell ref="B15:B16"/>
    <mergeCell ref="B18:B19"/>
    <mergeCell ref="B22:B28"/>
    <mergeCell ref="B30:B34"/>
    <mergeCell ref="E32:E33"/>
    <mergeCell ref="F4:F15"/>
    <mergeCell ref="G4:G15"/>
    <mergeCell ref="G17:G28"/>
    <mergeCell ref="B1:AC2"/>
    <mergeCell ref="AE20:AH24"/>
    <mergeCell ref="AE25:AH27"/>
    <mergeCell ref="AE28:AH29"/>
  </mergeCells>
  <dataValidations count="18">
    <dataValidation type="list" allowBlank="1" showInputMessage="1" showErrorMessage="1" sqref="V5:V6">
      <formula1>"0, 0.1, 0.2, 0.3"</formula1>
    </dataValidation>
    <dataValidation type="list" allowBlank="1" showInputMessage="1" showErrorMessage="1" sqref="T28 AA28">
      <formula1>"0,30%"</formula1>
    </dataValidation>
    <dataValidation type="list" allowBlank="1" showInputMessage="1" showErrorMessage="1" sqref="H28">
      <formula1>"大恶魔,四倍"</formula1>
    </dataValidation>
    <dataValidation type="list" allowBlank="1" showInputMessage="1" showErrorMessage="1" sqref="V7">
      <formula1>"0,2%, 4%, 6%"</formula1>
    </dataValidation>
    <dataValidation type="list" allowBlank="1" showInputMessage="1" showErrorMessage="1" sqref="D15">
      <formula1>"1, 1.1, 1.2, 1.3, 1.4, 1.5"</formula1>
    </dataValidation>
    <dataValidation type="list" allowBlank="1" showInputMessage="1" showErrorMessage="1" sqref="M14">
      <formula1>"0,0.3"</formula1>
    </dataValidation>
    <dataValidation type="list" allowBlank="1" showInputMessage="1" showErrorMessage="1" sqref="D14">
      <formula1>"0.8,0.9,1,1.1,1.2"</formula1>
    </dataValidation>
    <dataValidation type="list" allowBlank="1" showInputMessage="1" showErrorMessage="1" sqref="D23">
      <formula1>"平均值,最大值,中位值,自定义"</formula1>
    </dataValidation>
    <dataValidation type="list" allowBlank="1" showInputMessage="1" showErrorMessage="1" sqref="F43:H43">
      <formula1>"0,1,2,3,4,5,6,7"</formula1>
    </dataValidation>
    <dataValidation type="list" allowBlank="1" showInputMessage="1" showErrorMessage="1" sqref="D16">
      <formula1>"0,10%,15%,20%,25%,30%"</formula1>
    </dataValidation>
    <dataValidation type="list" allowBlank="1" showInputMessage="1" showErrorMessage="1" sqref="D33">
      <formula1>"0,1,2,3"</formula1>
    </dataValidation>
    <dataValidation type="list" allowBlank="1" showInputMessage="1" showErrorMessage="1" sqref="D4">
      <formula1>"战士,法师,射手,圣骑"</formula1>
    </dataValidation>
    <dataValidation type="list" allowBlank="1" showInputMessage="1" showErrorMessage="1" sqref="I15:O15">
      <formula1>"1,2,3"</formula1>
    </dataValidation>
    <dataValidation type="list" allowBlank="1" showInputMessage="1" showErrorMessage="1" sqref="D32">
      <formula1>"0,1,2,3,4"</formula1>
    </dataValidation>
    <dataValidation type="list" allowBlank="1" showInputMessage="1" showErrorMessage="1" sqref="D11">
      <formula1>"90,170,180,190"</formula1>
    </dataValidation>
    <dataValidation type="list" allowBlank="1" showInputMessage="1" showErrorMessage="1" sqref="C43:E43">
      <formula1>"0,1,2,3,4,5,6,7"</formula1>
    </dataValidation>
    <dataValidation type="list" allowBlank="1" showInputMessage="1" showErrorMessage="1" sqref="V10">
      <formula1>"0,2%,4%,6%"</formula1>
    </dataValidation>
    <dataValidation type="list" allowBlank="1" showInputMessage="1" showErrorMessage="1" sqref="U7 U10 U5:U6">
      <formula1>"0 ,0.03,0.05,0.07, 0.1"</formula1>
    </dataValidation>
  </dataValidation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输出计算（模板）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2020-05-27T13:03:00Z</dcterms:created>
  <dcterms:modified xsi:type="dcterms:W3CDTF">2020-07-15T11:53:53Z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2052-10.12.1</vt:lpwstr>
  </property>
</Properties>
</file>