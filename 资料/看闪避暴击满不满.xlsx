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<sst xmlns="http://schemas.openxmlformats.org/spreadsheetml/2006/main" count="14" uniqueCount="12">
  <si>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装备</t>
  </si>
  <si>
    <t>符文</t>
  </si>
  <si>
    <t>数值</t>
  </si>
  <si>
    <t>紫色：2；橙色：0；蓝色：-2；白色：-4</t>
  </si>
  <si>
    <t>图鉴</t>
  </si>
  <si>
    <t>自身满</t>
  </si>
  <si>
    <t>公会</t>
  </si>
  <si>
    <t>秘法</t>
  </si>
  <si>
    <t>近战</t>
  </si>
  <si>
    <t>暴击</t>
  </si>
  <si>
    <t>闪避</t>
  </si>
  <si>
    <t>远程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</si>
</sst>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zoomScale="130" zoomScaleNormal="130" workbookViewId="0">
      <selection activeCell="F9" sqref="F9"/>
    </sheetView>
  </sheetViews>
  <sheetFormatPr defaultColWidth="9" defaultRowHeight="13.5" outlineLevelRow="4"/>
  <cols>
    <col min="6" max="6" width="20.475" customWidth="1"/>
  </cols>
  <sheetData>
    <row r="1" ht="35" customHeight="1" spans="1:11">
      <c r="A1" s="1"/>
      <c r="B1" s="1"/>
      <c r="C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/>
    </row>
    <row r="2" spans="1:11">
      <c r="A2" s="1" t="s">
        <v>8</v>
      </c>
      <c r="B2" s="1" t="s">
        <v>9</v>
      </c>
      <c r="C2" s="1">
        <v>43</v>
      </c>
      <c r="D2" s="1">
        <v>6</v>
      </c>
      <c r="E2" s="1">
        <f>IF(C2+D2&gt;50,50,C2+D2)</f>
        <v>49</v>
      </c>
      <c r="F2" s="1">
        <v>2</v>
      </c>
      <c r="G2" s="1">
        <v>17</v>
      </c>
      <c r="H2" s="1">
        <v>8</v>
      </c>
      <c r="I2" s="1">
        <v>5</v>
      </c>
      <c r="J2" s="1">
        <v>10</v>
      </c>
      <c r="K2" s="1">
        <f>E2+F2+G2+H2+I2+J2</f>
        <v>91</v>
      </c>
    </row>
    <row r="3" spans="1:11">
      <c r="A3" s="1"/>
      <c r="B3" s="1" t="s">
        <v>10</v>
      </c>
      <c r="C3" s="1">
        <v>36</v>
      </c>
      <c r="D3" s="1">
        <v>6</v>
      </c>
      <c r="E3" s="1">
        <f>IF(C3+D3&gt;40,40,C3+D3)</f>
        <v>40</v>
      </c>
      <c r="F3" s="1">
        <v>2</v>
      </c>
      <c r="G3" s="1">
        <v>0</v>
      </c>
      <c r="H3" s="1">
        <v>8</v>
      </c>
      <c r="I3" s="1">
        <v>0</v>
      </c>
      <c r="J3" s="1">
        <v>10</v>
      </c>
      <c r="K3" s="1">
        <f>E3+F3+G3+H3+I3+J3</f>
        <v>60</v>
      </c>
    </row>
    <row r="4" spans="1:11">
      <c r="A4" s="1" t="s">
        <v>11</v>
      </c>
      <c r="B4" s="1" t="s">
        <v>9</v>
      </c>
      <c r="C4" s="1">
        <v>42</v>
      </c>
      <c r="D4" s="1">
        <v>6</v>
      </c>
      <c r="E4" s="1">
        <f>IF(C4+D4&gt;50,50,C4+D4)</f>
        <v>48</v>
      </c>
      <c r="F4" s="1">
        <v>2</v>
      </c>
      <c r="G4" s="1">
        <v>17</v>
      </c>
      <c r="H4" s="1">
        <v>11</v>
      </c>
      <c r="I4" s="1">
        <v>5</v>
      </c>
      <c r="J4" s="1">
        <v>10</v>
      </c>
      <c r="K4" s="1">
        <f>E4+F4+G4+H4+I4+J4</f>
        <v>93</v>
      </c>
    </row>
    <row r="5" spans="1:11">
      <c r="A5" s="1"/>
      <c r="B5" s="1" t="s">
        <v>10</v>
      </c>
      <c r="C5" s="1">
        <v>0</v>
      </c>
      <c r="D5" s="1">
        <v>0</v>
      </c>
      <c r="E5" s="1">
        <f>IF(C5+D5&gt;40,40,C5+D5)</f>
        <v>0</v>
      </c>
      <c r="F5" s="1">
        <v>2</v>
      </c>
      <c r="G5" s="1">
        <v>0</v>
      </c>
      <c r="H5" s="1">
        <v>11</v>
      </c>
      <c r="I5" s="1">
        <v>0</v>
      </c>
      <c r="J5" s="1">
        <v>10</v>
      </c>
      <c r="K5" s="1">
        <f>E5+F5+G5+H5+I5+J5</f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hch20</dc:creator>
  <cp:lastModifiedBy>WPS_1603069905</cp:lastModifiedBy>
  <dcterms:created xsi:type="dcterms:W3CDTF">2024-12-26T04:41:46Z</dcterms:created>
  <dcterms:modified xsi:type="dcterms:W3CDTF">2024-12-26T04:43:51Z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D8F54588A2014EEDB52FD60924331CD8_11</vt:lpwstr>
  </property>
  <property fmtid="{D5CDD505-2E9C-101B-9397-08002B2CF9AE}" pid="3" name="KSOProductBuildVer">
    <vt:lpwstr>2052-12.1.0.19302</vt:lpwstr>
  </property>
</Properties>
</file>