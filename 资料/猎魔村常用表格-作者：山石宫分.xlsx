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My Drive\猎魔\"/>
    </mc:Choice>
  </mc:AlternateContent>
  <xr:revisionPtr revIDLastSave="0" documentId="13_ncr:1_{CA3E38DA-773F-41BE-8F8C-0F99E85A4389}" xr6:coauthVersionLast="47" xr6:coauthVersionMax="47" xr10:uidLastSave="{00000000-0000-0000-0000-000000000000}"/>
  <bookViews>
    <workbookView xWindow="-108" yWindow="-108" windowWidth="23256" windowHeight="13896" activeTab="10" xr2:uid="{00000000-000D-0000-FFFF-FFFF00000000}"/>
  </bookViews>
  <sheets>
    <sheet name="新配裝表" sheetId="6" r:id="rId1"/>
    <sheet name="手" sheetId="9" r:id="rId2"/>
    <sheet name="身" sheetId="8" r:id="rId3"/>
    <sheet name="腳" sheetId="10" r:id="rId4"/>
    <sheet name="腰" sheetId="11" r:id="rId5"/>
    <sheet name="頭" sheetId="7" r:id="rId6"/>
    <sheet name="項鍊" sheetId="12" r:id="rId7"/>
    <sheet name="戒指" sheetId="13" r:id="rId8"/>
    <sheet name="攻速" sheetId="14" r:id="rId9"/>
    <sheet name="记忆碎片" sheetId="15" r:id="rId10"/>
    <sheet name="速鞋计算" sheetId="16" r:id="rId11"/>
  </sheets>
  <definedNames>
    <definedName name="_xlnm._FilterDatabase" localSheetId="8" hidden="1">攻速!$A$1:$J$99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6" l="1"/>
  <c r="N15" i="16" s="1"/>
  <c r="E2" i="6" l="1"/>
  <c r="P9" i="15" l="1"/>
  <c r="C9" i="15"/>
  <c r="P8" i="15"/>
  <c r="C8" i="15"/>
  <c r="D8" i="15" s="1"/>
  <c r="P7" i="15"/>
  <c r="C7" i="15"/>
  <c r="D7" i="15" s="1"/>
  <c r="P6" i="15"/>
  <c r="C6" i="15"/>
  <c r="P5" i="15"/>
  <c r="C5" i="15"/>
  <c r="P4" i="15"/>
  <c r="C4" i="15"/>
  <c r="D4" i="15" s="1"/>
  <c r="P3" i="15"/>
  <c r="C3" i="15"/>
  <c r="G56" i="14"/>
  <c r="F56" i="14"/>
  <c r="E56" i="14"/>
  <c r="D56" i="14"/>
  <c r="C56" i="14"/>
  <c r="B56" i="14"/>
  <c r="G48" i="14"/>
  <c r="F48" i="14"/>
  <c r="E48" i="14"/>
  <c r="D48" i="14"/>
  <c r="C48" i="14"/>
  <c r="B48" i="14"/>
  <c r="B3" i="7"/>
  <c r="R2" i="6" s="1"/>
  <c r="B12" i="13"/>
  <c r="B11" i="13"/>
  <c r="B10" i="13"/>
  <c r="B9" i="13"/>
  <c r="B8" i="13"/>
  <c r="B7" i="13"/>
  <c r="B6" i="13"/>
  <c r="B5" i="13"/>
  <c r="B4" i="13"/>
  <c r="B3" i="13"/>
  <c r="R8" i="6" s="1"/>
  <c r="B12" i="12"/>
  <c r="B11" i="12"/>
  <c r="B10" i="12"/>
  <c r="B9" i="12"/>
  <c r="B8" i="12"/>
  <c r="B7" i="12"/>
  <c r="B6" i="12"/>
  <c r="B5" i="12"/>
  <c r="B4" i="12"/>
  <c r="B3" i="12"/>
  <c r="R7" i="6" s="1"/>
  <c r="B12" i="11"/>
  <c r="B11" i="11"/>
  <c r="B10" i="11"/>
  <c r="B9" i="11"/>
  <c r="B8" i="11"/>
  <c r="B7" i="11"/>
  <c r="B6" i="11"/>
  <c r="B5" i="11"/>
  <c r="B4" i="11"/>
  <c r="B3" i="11"/>
  <c r="R6" i="6" s="1"/>
  <c r="B12" i="10"/>
  <c r="B11" i="10"/>
  <c r="B10" i="10"/>
  <c r="B9" i="10"/>
  <c r="B8" i="10"/>
  <c r="B7" i="10"/>
  <c r="B6" i="10"/>
  <c r="B5" i="10"/>
  <c r="B4" i="10"/>
  <c r="B3" i="10"/>
  <c r="R5" i="6" s="1"/>
  <c r="B12" i="9"/>
  <c r="B11" i="9"/>
  <c r="B10" i="9"/>
  <c r="B9" i="9"/>
  <c r="B8" i="9"/>
  <c r="B7" i="9"/>
  <c r="B6" i="9"/>
  <c r="B5" i="9"/>
  <c r="B4" i="9"/>
  <c r="B3" i="9"/>
  <c r="R4" i="6" s="1"/>
  <c r="B12" i="8"/>
  <c r="B11" i="8"/>
  <c r="B10" i="8"/>
  <c r="B9" i="8"/>
  <c r="B8" i="8"/>
  <c r="B7" i="8"/>
  <c r="B6" i="8"/>
  <c r="B5" i="8"/>
  <c r="B4" i="8"/>
  <c r="B3" i="8"/>
  <c r="R3" i="6" s="1"/>
  <c r="B4" i="7"/>
  <c r="B12" i="7"/>
  <c r="B11" i="7"/>
  <c r="B10" i="7"/>
  <c r="B9" i="7"/>
  <c r="B8" i="7"/>
  <c r="B7" i="7"/>
  <c r="B6" i="7"/>
  <c r="B5" i="7"/>
  <c r="P10" i="15" l="1"/>
  <c r="R13" i="6"/>
  <c r="P5" i="6"/>
  <c r="D2" i="6"/>
  <c r="E4" i="15"/>
  <c r="F4" i="15" s="1"/>
  <c r="G4" i="15" s="1"/>
  <c r="H4" i="15" s="1"/>
  <c r="I4" i="15" s="1"/>
  <c r="J4" i="15" s="1"/>
  <c r="K4" i="15" s="1"/>
  <c r="L4" i="15"/>
  <c r="E7" i="15"/>
  <c r="F7" i="15" s="1"/>
  <c r="G7" i="15" s="1"/>
  <c r="H7" i="15" s="1"/>
  <c r="I7" i="15" s="1"/>
  <c r="J7" i="15" s="1"/>
  <c r="K7" i="15" s="1"/>
  <c r="L7" i="15"/>
  <c r="E8" i="15"/>
  <c r="F8" i="15" s="1"/>
  <c r="G8" i="15" s="1"/>
  <c r="H8" i="15" s="1"/>
  <c r="I8" i="15" s="1"/>
  <c r="J8" i="15" s="1"/>
  <c r="K8" i="15" s="1"/>
  <c r="D3" i="15"/>
  <c r="E3" i="15" s="1"/>
  <c r="F3" i="15" s="1"/>
  <c r="G3" i="15" s="1"/>
  <c r="H3" i="15" s="1"/>
  <c r="I3" i="15" s="1"/>
  <c r="J3" i="15" s="1"/>
  <c r="K3" i="15" s="1"/>
  <c r="D6" i="15"/>
  <c r="E6" i="15" s="1"/>
  <c r="F6" i="15" s="1"/>
  <c r="G6" i="15" s="1"/>
  <c r="H6" i="15" s="1"/>
  <c r="I6" i="15" s="1"/>
  <c r="J6" i="15" s="1"/>
  <c r="K6" i="15" s="1"/>
  <c r="D9" i="15"/>
  <c r="E9" i="15" s="1"/>
  <c r="F9" i="15" s="1"/>
  <c r="G9" i="15" s="1"/>
  <c r="H9" i="15" s="1"/>
  <c r="I9" i="15" s="1"/>
  <c r="J9" i="15" s="1"/>
  <c r="K9" i="15" s="1"/>
  <c r="D5" i="15"/>
  <c r="E5" i="15" s="1"/>
  <c r="F5" i="15" s="1"/>
  <c r="G5" i="15" s="1"/>
  <c r="H5" i="15" s="1"/>
  <c r="I5" i="15" s="1"/>
  <c r="J5" i="15" s="1"/>
  <c r="K5" i="15" s="1"/>
  <c r="D6" i="6"/>
  <c r="F2" i="6"/>
  <c r="O6" i="6"/>
  <c r="G8" i="6"/>
  <c r="G2" i="6"/>
  <c r="J2" i="6"/>
  <c r="K2" i="6"/>
  <c r="N2" i="6"/>
  <c r="M4" i="6"/>
  <c r="C5" i="6"/>
  <c r="F5" i="6"/>
  <c r="G5" i="6"/>
  <c r="D5" i="6"/>
  <c r="E5" i="6"/>
  <c r="N4" i="6"/>
  <c r="P4" i="6"/>
  <c r="C4" i="6"/>
  <c r="H3" i="6"/>
  <c r="I3" i="6"/>
  <c r="H5" i="6"/>
  <c r="I5" i="6"/>
  <c r="J5" i="6"/>
  <c r="K5" i="6"/>
  <c r="L5" i="6"/>
  <c r="M5" i="6"/>
  <c r="N5" i="6"/>
  <c r="O5" i="6"/>
  <c r="O4" i="6"/>
  <c r="D4" i="6"/>
  <c r="E4" i="6"/>
  <c r="F4" i="6"/>
  <c r="G4" i="6"/>
  <c r="H4" i="6"/>
  <c r="I4" i="6"/>
  <c r="J4" i="6"/>
  <c r="K4" i="6"/>
  <c r="L4" i="6"/>
  <c r="O3" i="6"/>
  <c r="G3" i="6"/>
  <c r="P3" i="6"/>
  <c r="D3" i="6"/>
  <c r="C3" i="6"/>
  <c r="E3" i="6"/>
  <c r="F3" i="6"/>
  <c r="J3" i="6"/>
  <c r="K3" i="6"/>
  <c r="L3" i="6"/>
  <c r="M3" i="6"/>
  <c r="N3" i="6"/>
  <c r="P8" i="6"/>
  <c r="H8" i="6"/>
  <c r="I8" i="6"/>
  <c r="J8" i="6"/>
  <c r="K8" i="6"/>
  <c r="L8" i="6"/>
  <c r="M8" i="6"/>
  <c r="N8" i="6"/>
  <c r="O8" i="6"/>
  <c r="C8" i="6"/>
  <c r="D8" i="6"/>
  <c r="E8" i="6"/>
  <c r="F8" i="6"/>
  <c r="F7" i="6"/>
  <c r="G7" i="6"/>
  <c r="H7" i="6"/>
  <c r="I7" i="6"/>
  <c r="J7" i="6"/>
  <c r="K7" i="6"/>
  <c r="L7" i="6"/>
  <c r="M7" i="6"/>
  <c r="N7" i="6"/>
  <c r="O7" i="6"/>
  <c r="P7" i="6"/>
  <c r="C7" i="6"/>
  <c r="D7" i="6"/>
  <c r="E7" i="6"/>
  <c r="E13" i="6" s="1"/>
  <c r="C2" i="6"/>
  <c r="E6" i="6"/>
  <c r="G6" i="6"/>
  <c r="H6" i="6"/>
  <c r="I6" i="6"/>
  <c r="J6" i="6"/>
  <c r="K6" i="6"/>
  <c r="L6" i="6"/>
  <c r="M6" i="6"/>
  <c r="N6" i="6"/>
  <c r="F6" i="6"/>
  <c r="P6" i="6"/>
  <c r="C6" i="6"/>
  <c r="P2" i="6"/>
  <c r="O2" i="6"/>
  <c r="H2" i="6"/>
  <c r="M2" i="6"/>
  <c r="L2" i="6"/>
  <c r="I2" i="6"/>
  <c r="C13" i="6" l="1"/>
  <c r="D40" i="14" s="1"/>
  <c r="H96" i="14" s="1"/>
  <c r="O13" i="6"/>
  <c r="P13" i="6"/>
  <c r="I13" i="6"/>
  <c r="F10" i="15"/>
  <c r="L9" i="15"/>
  <c r="L8" i="15"/>
  <c r="L5" i="15"/>
  <c r="L6" i="15"/>
  <c r="L3" i="15"/>
  <c r="K13" i="6"/>
  <c r="N13" i="6"/>
  <c r="G13" i="6"/>
  <c r="F13" i="6"/>
  <c r="J13" i="6"/>
  <c r="L13" i="6"/>
  <c r="D13" i="6"/>
  <c r="M13" i="6"/>
  <c r="H13" i="6"/>
  <c r="L10" i="15" l="1"/>
  <c r="B40" i="14"/>
  <c r="D96" i="14"/>
  <c r="G96" i="14"/>
  <c r="A40" i="14"/>
  <c r="D64" i="14" s="1"/>
  <c r="C76" i="14"/>
  <c r="H76" i="14"/>
  <c r="F96" i="14"/>
  <c r="C40" i="14"/>
  <c r="H92" i="14" s="1"/>
  <c r="G76" i="14"/>
  <c r="C96" i="14"/>
  <c r="D76" i="14"/>
  <c r="E76" i="14"/>
  <c r="F76" i="14"/>
  <c r="E96" i="14"/>
  <c r="S14" i="6"/>
  <c r="E92" i="14" l="1"/>
  <c r="D92" i="14"/>
  <c r="G72" i="14"/>
  <c r="E84" i="14"/>
  <c r="H84" i="14"/>
  <c r="H64" i="14"/>
  <c r="F84" i="14"/>
  <c r="F64" i="14"/>
  <c r="G84" i="14"/>
  <c r="H72" i="14"/>
  <c r="C84" i="14"/>
  <c r="D84" i="14"/>
  <c r="E64" i="14"/>
  <c r="G64" i="14"/>
  <c r="G88" i="14"/>
  <c r="F88" i="14"/>
  <c r="H68" i="14"/>
  <c r="C68" i="14"/>
  <c r="G68" i="14"/>
  <c r="D68" i="14"/>
  <c r="C88" i="14"/>
  <c r="D88" i="14"/>
  <c r="E88" i="14"/>
  <c r="C92" i="14"/>
  <c r="F68" i="14"/>
  <c r="F92" i="14"/>
  <c r="H88" i="14"/>
  <c r="F72" i="14"/>
  <c r="E68" i="14"/>
  <c r="C64" i="14"/>
  <c r="G92" i="14"/>
  <c r="E72" i="14"/>
  <c r="D72" i="14"/>
  <c r="C72" i="14"/>
</calcChain>
</file>

<file path=xl/sharedStrings.xml><?xml version="1.0" encoding="utf-8"?>
<sst xmlns="http://schemas.openxmlformats.org/spreadsheetml/2006/main" count="364" uniqueCount="126">
  <si>
    <t>身</t>
    <phoneticPr fontId="1" type="noConversion"/>
  </si>
  <si>
    <t>手</t>
    <phoneticPr fontId="1" type="noConversion"/>
  </si>
  <si>
    <t>腳</t>
    <phoneticPr fontId="1" type="noConversion"/>
  </si>
  <si>
    <t>減傷</t>
    <phoneticPr fontId="1" type="noConversion"/>
  </si>
  <si>
    <t>閃避</t>
    <phoneticPr fontId="1" type="noConversion"/>
  </si>
  <si>
    <t>吸血</t>
    <phoneticPr fontId="1" type="noConversion"/>
  </si>
  <si>
    <t>攻速</t>
    <phoneticPr fontId="1" type="noConversion"/>
  </si>
  <si>
    <t>符文</t>
    <phoneticPr fontId="1" type="noConversion"/>
  </si>
  <si>
    <t>極限</t>
    <phoneticPr fontId="1" type="noConversion"/>
  </si>
  <si>
    <t>渾沌屬性</t>
    <phoneticPr fontId="1" type="noConversion"/>
  </si>
  <si>
    <t>總計屬性</t>
    <phoneticPr fontId="1" type="noConversion"/>
  </si>
  <si>
    <t>裝備</t>
    <phoneticPr fontId="1" type="noConversion"/>
  </si>
  <si>
    <t>致命傷</t>
    <phoneticPr fontId="1" type="noConversion"/>
  </si>
  <si>
    <t>體力</t>
    <phoneticPr fontId="1" type="noConversion"/>
  </si>
  <si>
    <t>防禦</t>
    <phoneticPr fontId="1" type="noConversion"/>
  </si>
  <si>
    <t>攻擊</t>
    <phoneticPr fontId="1" type="noConversion"/>
  </si>
  <si>
    <t>致命</t>
    <phoneticPr fontId="1" type="noConversion"/>
  </si>
  <si>
    <t>靈長</t>
    <phoneticPr fontId="1" type="noConversion"/>
  </si>
  <si>
    <t>BOSS</t>
    <phoneticPr fontId="1" type="noConversion"/>
  </si>
  <si>
    <t>惡魔</t>
    <phoneticPr fontId="1" type="noConversion"/>
  </si>
  <si>
    <t>不死</t>
    <phoneticPr fontId="1" type="noConversion"/>
  </si>
  <si>
    <t>動物</t>
    <phoneticPr fontId="1" type="noConversion"/>
  </si>
  <si>
    <t>部位</t>
    <phoneticPr fontId="1" type="noConversion"/>
  </si>
  <si>
    <t>極限值</t>
    <phoneticPr fontId="1" type="noConversion"/>
  </si>
  <si>
    <t>45~46</t>
    <phoneticPr fontId="1" type="noConversion"/>
  </si>
  <si>
    <t>附加傷害</t>
    <phoneticPr fontId="1" type="noConversion"/>
  </si>
  <si>
    <t>渾沌</t>
    <phoneticPr fontId="1" type="noConversion"/>
  </si>
  <si>
    <t>武器</t>
    <phoneticPr fontId="1" type="noConversion"/>
  </si>
  <si>
    <t>雙傷(最高種族+致命傷)</t>
    <phoneticPr fontId="1" type="noConversion"/>
  </si>
  <si>
    <t>下拉</t>
    <phoneticPr fontId="1" type="noConversion"/>
  </si>
  <si>
    <t>請先輸入你所擁有的裝備(每部位只提供10件輸入)，最後下拉選單配裝</t>
    <phoneticPr fontId="1" type="noConversion"/>
  </si>
  <si>
    <t>攻速计算</t>
  </si>
  <si>
    <t>武器</t>
  </si>
  <si>
    <t>英属</t>
  </si>
  <si>
    <t>称号</t>
  </si>
  <si>
    <t>装备</t>
  </si>
  <si>
    <t>秘法</t>
  </si>
  <si>
    <t>公会</t>
  </si>
  <si>
    <t>符文</t>
  </si>
  <si>
    <t>技能</t>
  </si>
  <si>
    <t>闪电</t>
  </si>
  <si>
    <t>坐骑饰品</t>
  </si>
  <si>
    <t>2.0</t>
  </si>
  <si>
    <t>快手-10%</t>
  </si>
  <si>
    <t>1.0</t>
  </si>
  <si>
    <t>2.2</t>
  </si>
  <si>
    <t>英态-7%</t>
  </si>
  <si>
    <t>1.1</t>
  </si>
  <si>
    <t>2.3</t>
  </si>
  <si>
    <t>无-0%</t>
  </si>
  <si>
    <t>1.2</t>
  </si>
  <si>
    <t>2.5</t>
  </si>
  <si>
    <t>负面/-10%</t>
  </si>
  <si>
    <t>1.3</t>
  </si>
  <si>
    <t>1.4</t>
  </si>
  <si>
    <t>1.5</t>
  </si>
  <si>
    <t>攻速</t>
  </si>
  <si>
    <t xml:space="preserve"> </t>
  </si>
  <si>
    <t>狂暴</t>
  </si>
  <si>
    <t>普通</t>
  </si>
  <si>
    <t>总数</t>
  </si>
  <si>
    <t>LV0</t>
  </si>
  <si>
    <t>LV1</t>
  </si>
  <si>
    <t>LV2</t>
  </si>
  <si>
    <t>LV3</t>
  </si>
  <si>
    <t>LV4</t>
  </si>
  <si>
    <t>LV5</t>
  </si>
  <si>
    <t>四轉記憶碎片需求表</t>
    <phoneticPr fontId="1" type="noConversion"/>
  </si>
  <si>
    <t>預計提升等級用量表</t>
    <phoneticPr fontId="1" type="noConversion"/>
  </si>
  <si>
    <t>等級</t>
    <phoneticPr fontId="1" type="noConversion"/>
  </si>
  <si>
    <t>倍數表</t>
    <phoneticPr fontId="1" type="noConversion"/>
  </si>
  <si>
    <t>技能</t>
    <phoneticPr fontId="1" type="noConversion"/>
  </si>
  <si>
    <t>Lv.1</t>
    <phoneticPr fontId="1" type="noConversion"/>
  </si>
  <si>
    <t>Lv.2</t>
    <phoneticPr fontId="1" type="noConversion"/>
  </si>
  <si>
    <t>Lv.3</t>
  </si>
  <si>
    <t>Lv.4</t>
  </si>
  <si>
    <t>Lv.5</t>
  </si>
  <si>
    <t>Lv.6</t>
  </si>
  <si>
    <t>Lv.7</t>
  </si>
  <si>
    <t>Lv.8</t>
  </si>
  <si>
    <t>Lv.9</t>
  </si>
  <si>
    <t>Lv.10</t>
  </si>
  <si>
    <t>total</t>
    <phoneticPr fontId="1" type="noConversion"/>
  </si>
  <si>
    <t>需求量</t>
    <phoneticPr fontId="1" type="noConversion"/>
  </si>
  <si>
    <t>技能一</t>
    <phoneticPr fontId="1" type="noConversion"/>
  </si>
  <si>
    <t>技能二</t>
    <phoneticPr fontId="1" type="noConversion"/>
  </si>
  <si>
    <t>技能三</t>
    <phoneticPr fontId="1" type="noConversion"/>
  </si>
  <si>
    <t>技能四</t>
    <phoneticPr fontId="1" type="noConversion"/>
  </si>
  <si>
    <t>技能五</t>
    <phoneticPr fontId="1" type="noConversion"/>
  </si>
  <si>
    <t>技能六</t>
    <phoneticPr fontId="1" type="noConversion"/>
  </si>
  <si>
    <t>技能七</t>
    <phoneticPr fontId="1" type="noConversion"/>
  </si>
  <si>
    <t>全Lv5需要</t>
    <phoneticPr fontId="1" type="noConversion"/>
  </si>
  <si>
    <t>四轉全滿技能需要</t>
    <phoneticPr fontId="1" type="noConversion"/>
  </si>
  <si>
    <t>Total</t>
    <phoneticPr fontId="1" type="noConversion"/>
  </si>
  <si>
    <t>废词</t>
  </si>
  <si>
    <t>大恶魔</t>
  </si>
  <si>
    <t>頭</t>
  </si>
  <si>
    <t>腰</t>
  </si>
  <si>
    <t>項鍊</t>
  </si>
  <si>
    <t>戒指</t>
  </si>
  <si>
    <t>頭1攻速12 致命 閃避16 體力 防禦 減傷 靈長45 BOSS 惡魔 不死 動物 致命傷 攻擊29 吸血</t>
  </si>
  <si>
    <t>身1攻速 致命 閃避8 體力 防禦 減傷 靈長40 BOSS 惡魔 不死 動物 致命傷40 攻擊26 吸血</t>
  </si>
  <si>
    <t>手1攻速10 致命16 閃避 體力 防禦 減傷 靈長45 BOSS 惡魔 不死 動物 致命傷45 攻擊 吸血</t>
  </si>
  <si>
    <t>腳1攻速14 致命 閃避 體力 防禦 減傷 靈長45 BOSS 惡魔 不死 動物 致命傷45 攻擊29 吸血</t>
  </si>
  <si>
    <t>戒指1攻速 致命 閃避 體力 防禦 減傷 靈長40 BOSS 惡魔 不死 動物 致命傷40 攻擊26 吸血10</t>
  </si>
  <si>
    <t>腰1攻速13 致命11 閃避 體力 防禦 減傷 靈長40 BOSS 惡魔 不死 動物 致命傷 攻擊15 吸血</t>
  </si>
  <si>
    <t>項鍊1攻速 致命14 閃避 體力 防禦 減傷 靈長40 BOSS 惡魔 不死 動物 致命傷40 攻擊26 吸血</t>
  </si>
  <si>
    <t>%数</t>
  </si>
  <si>
    <t>猎人</t>
  </si>
  <si>
    <t>建筑</t>
  </si>
  <si>
    <t>翅膀衣服</t>
  </si>
  <si>
    <t>印章</t>
  </si>
  <si>
    <t>坐骑</t>
  </si>
  <si>
    <t>铁蹄</t>
  </si>
  <si>
    <t>英雄心态</t>
  </si>
  <si>
    <t>跑鞋</t>
  </si>
  <si>
    <t>冰弓</t>
  </si>
  <si>
    <t>Lv.1</t>
  </si>
  <si>
    <t>无</t>
  </si>
  <si>
    <t>这里切换&gt;</t>
  </si>
  <si>
    <t>&lt;这里切换</t>
  </si>
  <si>
    <t>速鞋计算</t>
  </si>
  <si>
    <t>速鞋数据</t>
  </si>
  <si>
    <t>&lt;自己换</t>
  </si>
  <si>
    <t>移速</t>
  </si>
  <si>
    <t>种类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</si>
</sst>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4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20"/>
      <color theme="1"/>
      <name val="標楷體"/>
      <family val="4"/>
      <charset val="136"/>
    </font>
    <font>
      <sz val="20"/>
      <name val="標楷體"/>
      <family val="4"/>
      <charset val="136"/>
    </font>
    <font>
      <sz val="11"/>
      <color theme="1"/>
      <name val="標楷體"/>
      <family val="4"/>
      <charset val="136"/>
    </font>
    <font>
      <sz val="20"/>
      <color rgb="FFFF0000"/>
      <name val="標楷體"/>
      <family val="4"/>
      <charset val="136"/>
    </font>
    <font>
      <sz val="2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</font>
    <font>
      <sz val="11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b/>
      <sz val="20"/>
      <color rgb="FFFFC000"/>
      <name val="Calibri"/>
      <family val="2"/>
    </font>
    <font>
      <b/>
      <sz val="20"/>
      <color theme="4"/>
      <name val="Calibri"/>
      <family val="2"/>
    </font>
    <font>
      <b/>
      <sz val="20"/>
      <color rgb="FF7F7F7F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</font>
    <font>
      <sz val="20"/>
      <color rgb="FFFF0000"/>
      <name val="Calibri"/>
      <family val="2"/>
    </font>
    <font>
      <sz val="20"/>
      <color rgb="FF44546A"/>
      <name val="Calibri"/>
      <family val="2"/>
    </font>
    <font>
      <b/>
      <sz val="11"/>
      <color theme="1"/>
      <name val="Calibri"/>
      <family val="2"/>
    </font>
    <font>
      <sz val="20"/>
      <color theme="1"/>
      <name val="標楷體"/>
    </font>
    <font>
      <sz val="14"/>
      <color theme="1"/>
      <name val="Abadi"/>
      <family val="2"/>
    </font>
    <font>
      <sz val="12"/>
      <color theme="1"/>
      <name val="Calibri"/>
      <family val="2"/>
      <charset val="136"/>
      <scheme val="minor"/>
    </font>
    <font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5" tint="-0.249977111117893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24"/>
      <color rgb="FFFFFF00"/>
      <name val="Calibri"/>
      <family val="2"/>
      <scheme val="minor"/>
    </font>
    <font>
      <b/>
      <sz val="12"/>
      <color rgb="FFFF3300"/>
      <name val="標楷體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0" fillId="0" borderId="0"/>
    <xf numFmtId="0" fontId="25" fillId="0" borderId="0">
      <alignment vertical="center"/>
    </xf>
  </cellStyleXfs>
  <cellXfs count="1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0" xfId="0" applyFont="1"/>
    <xf numFmtId="0" fontId="2" fillId="4" borderId="6" xfId="0" applyFont="1" applyFill="1" applyBorder="1" applyAlignment="1">
      <alignment horizontal="center" vertical="center" shrinkToFit="1"/>
    </xf>
    <xf numFmtId="0" fontId="2" fillId="5" borderId="6" xfId="0" applyFont="1" applyFill="1" applyBorder="1" applyAlignment="1">
      <alignment horizontal="center" vertical="center" shrinkToFit="1"/>
    </xf>
    <xf numFmtId="0" fontId="2" fillId="6" borderId="6" xfId="0" applyFont="1" applyFill="1" applyBorder="1" applyAlignment="1">
      <alignment horizontal="center" vertical="center" shrinkToFit="1"/>
    </xf>
    <xf numFmtId="0" fontId="2" fillId="10" borderId="6" xfId="0" applyFont="1" applyFill="1" applyBorder="1" applyAlignment="1">
      <alignment horizontal="center" vertical="center" shrinkToFit="1"/>
    </xf>
    <xf numFmtId="0" fontId="2" fillId="7" borderId="6" xfId="0" applyFont="1" applyFill="1" applyBorder="1" applyAlignment="1">
      <alignment horizontal="center" vertical="center" shrinkToFit="1"/>
    </xf>
    <xf numFmtId="0" fontId="2" fillId="8" borderId="6" xfId="0" applyFont="1" applyFill="1" applyBorder="1" applyAlignment="1">
      <alignment horizontal="center" vertical="center" shrinkToFit="1"/>
    </xf>
    <xf numFmtId="0" fontId="2" fillId="9" borderId="6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4" fillId="5" borderId="10" xfId="0" applyFont="1" applyFill="1" applyBorder="1" applyAlignment="1">
      <alignment horizontal="center" vertical="center" shrinkToFit="1" readingOrder="1"/>
    </xf>
    <xf numFmtId="0" fontId="4" fillId="5" borderId="10" xfId="0" applyFont="1" applyFill="1" applyBorder="1" applyAlignment="1">
      <alignment horizontal="center" vertical="center" shrinkToFit="1"/>
    </xf>
    <xf numFmtId="0" fontId="5" fillId="11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10" fillId="0" borderId="0" xfId="2" applyAlignment="1">
      <alignment vertical="center"/>
    </xf>
    <xf numFmtId="0" fontId="18" fillId="0" borderId="16" xfId="2" applyFont="1" applyBorder="1" applyAlignment="1">
      <alignment vertical="center"/>
    </xf>
    <xf numFmtId="9" fontId="24" fillId="2" borderId="14" xfId="1" applyFont="1" applyFill="1" applyBorder="1" applyAlignment="1">
      <alignment horizontal="center" vertical="center"/>
    </xf>
    <xf numFmtId="0" fontId="0" fillId="0" borderId="0" xfId="2" applyFont="1" applyAlignment="1">
      <alignment vertical="center"/>
    </xf>
    <xf numFmtId="9" fontId="10" fillId="0" borderId="0" xfId="2" applyNumberForma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3" applyFont="1">
      <alignment vertical="center"/>
    </xf>
    <xf numFmtId="0" fontId="27" fillId="0" borderId="9" xfId="3" applyFont="1" applyBorder="1" applyAlignment="1">
      <alignment horizontal="center" vertical="center"/>
    </xf>
    <xf numFmtId="0" fontId="27" fillId="0" borderId="9" xfId="3" applyFont="1" applyBorder="1">
      <alignment vertical="center"/>
    </xf>
    <xf numFmtId="0" fontId="28" fillId="0" borderId="9" xfId="3" applyFont="1" applyBorder="1" applyAlignment="1">
      <alignment horizontal="center" vertical="center"/>
    </xf>
    <xf numFmtId="0" fontId="28" fillId="0" borderId="9" xfId="3" applyFont="1" applyBorder="1">
      <alignment vertical="center"/>
    </xf>
    <xf numFmtId="0" fontId="27" fillId="17" borderId="9" xfId="3" applyFont="1" applyFill="1" applyBorder="1">
      <alignment vertical="center"/>
    </xf>
    <xf numFmtId="0" fontId="29" fillId="0" borderId="0" xfId="3" applyFont="1" applyAlignment="1">
      <alignment horizontal="right" vertical="center"/>
    </xf>
    <xf numFmtId="0" fontId="29" fillId="0" borderId="0" xfId="3" applyFont="1">
      <alignment vertical="center"/>
    </xf>
    <xf numFmtId="0" fontId="30" fillId="0" borderId="0" xfId="3" applyFont="1" applyAlignment="1">
      <alignment horizontal="right" vertical="center"/>
    </xf>
    <xf numFmtId="0" fontId="30" fillId="0" borderId="0" xfId="3" applyFont="1">
      <alignment vertical="center"/>
    </xf>
    <xf numFmtId="0" fontId="31" fillId="0" borderId="0" xfId="3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17" xfId="2" applyFont="1" applyBorder="1" applyAlignment="1">
      <alignment vertical="center"/>
    </xf>
    <xf numFmtId="0" fontId="12" fillId="0" borderId="18" xfId="2" applyFont="1" applyBorder="1" applyAlignment="1">
      <alignment vertical="center"/>
    </xf>
    <xf numFmtId="0" fontId="12" fillId="0" borderId="19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13" fillId="0" borderId="15" xfId="2" applyFont="1" applyBorder="1" applyAlignment="1">
      <alignment vertical="center"/>
    </xf>
    <xf numFmtId="9" fontId="27" fillId="0" borderId="9" xfId="1" applyFont="1" applyBorder="1" applyAlignment="1">
      <alignment horizontal="center" vertical="center"/>
    </xf>
    <xf numFmtId="49" fontId="23" fillId="0" borderId="15" xfId="2" applyNumberFormat="1" applyFont="1" applyBorder="1" applyAlignment="1">
      <alignment horizontal="center" vertical="center"/>
    </xf>
    <xf numFmtId="9" fontId="19" fillId="0" borderId="15" xfId="2" applyNumberFormat="1" applyFont="1" applyBorder="1" applyAlignment="1">
      <alignment horizontal="center" vertical="center"/>
    </xf>
    <xf numFmtId="9" fontId="19" fillId="0" borderId="15" xfId="1" applyFont="1" applyBorder="1" applyAlignment="1">
      <alignment horizontal="center" vertical="center"/>
    </xf>
    <xf numFmtId="9" fontId="20" fillId="0" borderId="15" xfId="2" applyNumberFormat="1" applyFont="1" applyBorder="1" applyAlignment="1">
      <alignment horizontal="center" vertical="center"/>
    </xf>
    <xf numFmtId="9" fontId="19" fillId="0" borderId="20" xfId="2" applyNumberFormat="1" applyFont="1" applyBorder="1" applyAlignment="1">
      <alignment horizontal="center" vertical="center"/>
    </xf>
    <xf numFmtId="0" fontId="27" fillId="17" borderId="9" xfId="3" applyFont="1" applyFill="1" applyBorder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28" fillId="0" borderId="0" xfId="3" applyFont="1">
      <alignment vertical="center"/>
    </xf>
    <xf numFmtId="0" fontId="33" fillId="17" borderId="0" xfId="3" applyFont="1" applyFill="1" applyAlignment="1">
      <alignment horizontal="center" vertical="center"/>
    </xf>
    <xf numFmtId="0" fontId="32" fillId="1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2" fillId="0" borderId="17" xfId="2" applyFont="1" applyBorder="1" applyAlignment="1">
      <alignment vertical="center"/>
    </xf>
    <xf numFmtId="0" fontId="12" fillId="0" borderId="18" xfId="2" applyFont="1" applyBorder="1" applyAlignment="1">
      <alignment vertical="center"/>
    </xf>
    <xf numFmtId="0" fontId="11" fillId="0" borderId="15" xfId="2" applyFont="1" applyBorder="1" applyAlignment="1">
      <alignment horizontal="center" vertical="center"/>
    </xf>
    <xf numFmtId="0" fontId="12" fillId="0" borderId="16" xfId="2" applyFont="1" applyBorder="1" applyAlignment="1">
      <alignment vertical="center"/>
    </xf>
    <xf numFmtId="0" fontId="10" fillId="0" borderId="0" xfId="2" applyAlignment="1">
      <alignment vertical="center"/>
    </xf>
    <xf numFmtId="0" fontId="12" fillId="0" borderId="19" xfId="2" applyFont="1" applyBorder="1" applyAlignment="1">
      <alignment vertical="center"/>
    </xf>
    <xf numFmtId="49" fontId="13" fillId="0" borderId="15" xfId="2" applyNumberFormat="1" applyFont="1" applyBorder="1" applyAlignment="1">
      <alignment horizontal="center" vertical="center"/>
    </xf>
    <xf numFmtId="9" fontId="14" fillId="0" borderId="15" xfId="2" applyNumberFormat="1" applyFont="1" applyBorder="1" applyAlignment="1">
      <alignment horizontal="center" vertical="center"/>
    </xf>
    <xf numFmtId="9" fontId="13" fillId="0" borderId="15" xfId="2" applyNumberFormat="1" applyFont="1" applyBorder="1" applyAlignment="1">
      <alignment horizontal="center" vertical="center"/>
    </xf>
    <xf numFmtId="9" fontId="13" fillId="0" borderId="15" xfId="1" applyFont="1" applyBorder="1" applyAlignment="1">
      <alignment horizontal="center" vertical="center"/>
    </xf>
    <xf numFmtId="9" fontId="12" fillId="0" borderId="17" xfId="1" applyFont="1" applyBorder="1" applyAlignment="1">
      <alignment vertical="center"/>
    </xf>
    <xf numFmtId="9" fontId="12" fillId="0" borderId="18" xfId="1" applyFont="1" applyBorder="1" applyAlignment="1">
      <alignment vertical="center"/>
    </xf>
    <xf numFmtId="9" fontId="16" fillId="0" borderId="15" xfId="2" applyNumberFormat="1" applyFont="1" applyBorder="1" applyAlignment="1">
      <alignment horizontal="center" vertical="center"/>
    </xf>
    <xf numFmtId="10" fontId="13" fillId="0" borderId="15" xfId="2" applyNumberFormat="1" applyFont="1" applyBorder="1" applyAlignment="1">
      <alignment horizontal="center" vertical="center"/>
    </xf>
    <xf numFmtId="9" fontId="15" fillId="0" borderId="15" xfId="2" applyNumberFormat="1" applyFont="1" applyBorder="1" applyAlignment="1">
      <alignment horizontal="center" vertical="center"/>
    </xf>
    <xf numFmtId="9" fontId="17" fillId="0" borderId="15" xfId="2" applyNumberFormat="1" applyFont="1" applyBorder="1" applyAlignment="1">
      <alignment horizontal="center" vertical="center"/>
    </xf>
    <xf numFmtId="0" fontId="18" fillId="0" borderId="15" xfId="2" applyFont="1" applyBorder="1" applyAlignment="1">
      <alignment horizontal="center" vertical="center"/>
    </xf>
    <xf numFmtId="164" fontId="21" fillId="0" borderId="15" xfId="2" applyNumberFormat="1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/>
    </xf>
    <xf numFmtId="49" fontId="19" fillId="0" borderId="15" xfId="2" applyNumberFormat="1" applyFont="1" applyBorder="1" applyAlignment="1">
      <alignment horizontal="center" vertical="center"/>
    </xf>
    <xf numFmtId="0" fontId="18" fillId="0" borderId="17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/>
    </xf>
    <xf numFmtId="0" fontId="26" fillId="0" borderId="9" xfId="3" applyFont="1" applyBorder="1" applyAlignment="1">
      <alignment horizontal="center" vertical="center"/>
    </xf>
    <xf numFmtId="0" fontId="27" fillId="0" borderId="9" xfId="3" applyFont="1" applyBorder="1" applyAlignment="1">
      <alignment horizontal="center" vertical="center"/>
    </xf>
  </cellXfs>
  <cellStyles count="4">
    <cellStyle name="Normal" xfId="0" builtinId="0"/>
    <cellStyle name="Normal 2" xfId="2" xr:uid="{E8F1E0E0-6C02-406F-AFDE-233F36AF12D9}"/>
    <cellStyle name="Normal 3" xfId="3" xr:uid="{DDC53BB4-E1F2-45EC-AD7C-8EEAB30A3E25}"/>
    <cellStyle name="Percent" xfId="1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1" readingOrder="0"/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 readingOrder="0"/>
    </dxf>
    <dxf>
      <numFmt numFmtId="0" formatCode="General"/>
      <alignment horizontal="center" vertical="center" textRotation="0" wrapText="0" indent="0" justifyLastLine="0" shrinkToFit="1" readingOrder="0"/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 readingOrder="0"/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/>
    </dxf>
    <dxf>
      <border outline="0">
        <bottom style="thin">
          <color theme="1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/>
    </dxf>
    <dxf>
      <numFmt numFmtId="0" formatCode="General"/>
      <alignment horizontal="center" vertical="center" textRotation="0" wrapText="0" indent="0" justifyLastLine="0" shrinkToFit="1" readingOrder="0"/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 readingOrder="0"/>
    </dxf>
    <dxf>
      <numFmt numFmtId="0" formatCode="General"/>
      <alignment horizontal="center" vertical="center" textRotation="0" wrapText="0" indent="0" justifyLastLine="0" shrinkToFit="1" readingOrder="0"/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 readingOrder="0"/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</dxf>
    <dxf>
      <border outline="0">
        <bottom style="thin">
          <color theme="1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 readingOrder="0"/>
    </dxf>
    <dxf>
      <numFmt numFmtId="0" formatCode="General"/>
      <alignment horizontal="center" vertical="center" textRotation="0" wrapText="0" indent="0" justifyLastLine="0" shrinkToFit="1" readingOrder="0"/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0" indent="0" justifyLastLine="0" readingOrder="0"/>
    </dxf>
  </dxfs>
  <tableStyles count="0" defaultTableStyle="TableStyleMedium2" defaultPivotStyle="PivotStyleLight16"/>
  <colors>
    <mruColors>
      <color rgb="FFFF3300"/>
      <color rgb="FFFF8B8B"/>
      <color rgb="FFDE0000"/>
      <color rgb="FFAA72D4"/>
      <color rgb="FFFF505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0182AE-D650-4A39-88B9-05FDF26FDD3F}" name="表格1_465" displayName="表格1_465" ref="B2:B12" totalsRowShown="0" headerRowDxfId="35" dataDxfId="34" tableBorderDxfId="33">
  <autoFilter ref="B2:B12" xr:uid="{7D0182AE-D650-4A39-88B9-05FDF26FDD3F}"/>
  <tableColumns count="1">
    <tableColumn id="1" xr3:uid="{6AA128BB-E745-4C91-A55A-0A52D7098737}" name="部位" dataDxfId="32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75ABB-D5E3-4FA6-A84E-E1CED85B90D1}" name="表格1_463" displayName="表格1_463" ref="B2:B12" totalsRowShown="0" headerRowDxfId="31" dataDxfId="30" tableBorderDxfId="29">
  <autoFilter ref="B2:B12" xr:uid="{36875ABB-D5E3-4FA6-A84E-E1CED85B90D1}"/>
  <tableColumns count="1">
    <tableColumn id="1" xr3:uid="{80A8FD8F-A911-4C88-B5A9-E335DE21F216}" name="部位" dataDxfId="28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BA2113-26BF-45EB-B351-23711F0BFEB0}" name="表格1_467" displayName="表格1_467" ref="B2:B12" totalsRowShown="0" headerRowDxfId="27" dataDxfId="26" tableBorderDxfId="25">
  <autoFilter ref="B2:B12" xr:uid="{D1BA2113-26BF-45EB-B351-23711F0BFEB0}"/>
  <tableColumns count="1">
    <tableColumn id="1" xr3:uid="{C597F6CA-5B16-4A2B-9DBA-691157D88A47}" name="部位" dataDxfId="24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D7A9D7-46BF-4383-AD5A-B2884A230795}" name="表格1_468" displayName="表格1_468" ref="B2:B12" totalsRowShown="0" headerRowDxfId="23" dataDxfId="22" tableBorderDxfId="21">
  <autoFilter ref="B2:B12" xr:uid="{ACD7A9D7-46BF-4383-AD5A-B2884A230795}"/>
  <tableColumns count="1">
    <tableColumn id="1" xr3:uid="{177C3615-2830-4483-990A-655B8248C06D}" name="部位" dataDxfId="20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99F01F-4242-47BC-8E04-56FC3D0F0C47}" name="表格1_46" displayName="表格1_46" ref="B2:B12" totalsRowShown="0" headerRowDxfId="19" dataDxfId="18" tableBorderDxfId="17">
  <autoFilter ref="B2:B12" xr:uid="{3599F01F-4242-47BC-8E04-56FC3D0F0C47}"/>
  <tableColumns count="1">
    <tableColumn id="1" xr3:uid="{D246A05B-06E8-41AB-8025-93C8FDBD6701}" name="部位" dataDxfId="16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78FEF8-6814-450B-99F0-886AC1F4E84D}" name="表格1_469" displayName="表格1_469" ref="B2:B12" totalsRowShown="0" headerRowDxfId="15" dataDxfId="14" tableBorderDxfId="13">
  <autoFilter ref="B2:B12" xr:uid="{6A78FEF8-6814-450B-99F0-886AC1F4E84D}"/>
  <tableColumns count="1">
    <tableColumn id="1" xr3:uid="{A52E4EE3-F9EF-4E90-A67B-892EBDED3F6B}" name="部位" dataDxfId="12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5EF0EF-DDDF-4A0D-9EDA-9F25B46DE30E}" name="表格1_4610" displayName="表格1_4610" ref="B2:B12" totalsRowShown="0" headerRowDxfId="11" dataDxfId="10" tableBorderDxfId="9">
  <autoFilter ref="B2:B12" xr:uid="{C25EF0EF-DDDF-4A0D-9EDA-9F25B46DE30E}"/>
  <tableColumns count="1">
    <tableColumn id="1" xr3:uid="{66A61716-758A-41E0-A30E-6D37FFB06F88}" name="部位" dataDxfId="8">
      <calculatedColumnFormula>"頭"&amp;A3&amp;C1&amp;C3&amp;" "&amp;D1&amp;D3&amp;" "&amp;E1&amp;E3&amp;" "&amp;F1&amp;F3&amp;" "&amp;G1&amp;G3&amp;" "&amp;H1&amp;H3&amp;" "&amp;I1&amp;I3&amp;" "&amp;J1&amp;J3&amp;" "&amp;K1&amp;K3&amp;" "&amp;L1&amp;L3&amp;" "&amp;M1&amp;M3&amp;" "&amp;N1&amp;N3&amp;" "&amp;O1&amp;O3&amp;" "&amp;P1&amp;P3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4C8F-3E0A-42A4-9991-D10985281A62}">
  <dimension ref="A1:AL23"/>
  <sheetViews>
    <sheetView zoomScaleNormal="100" workbookViewId="0">
      <selection activeCell="C7" sqref="C7"/>
    </sheetView>
  </sheetViews>
  <sheetFormatPr defaultRowHeight="14.4"/>
  <cols>
    <col min="2" max="2" width="9.44140625" customWidth="1"/>
    <col min="3" max="3" width="10.33203125" bestFit="1" customWidth="1"/>
    <col min="4" max="4" width="7.77734375" bestFit="1" customWidth="1"/>
    <col min="5" max="5" width="10.88671875" bestFit="1" customWidth="1"/>
    <col min="6" max="13" width="7.77734375" bestFit="1" customWidth="1"/>
    <col min="14" max="14" width="10.77734375" bestFit="1" customWidth="1"/>
    <col min="15" max="16" width="7.77734375" bestFit="1" customWidth="1"/>
    <col min="17" max="18" width="12.77734375" customWidth="1"/>
    <col min="19" max="19" width="10.77734375" bestFit="1" customWidth="1"/>
    <col min="20" max="24" width="7.77734375" bestFit="1" customWidth="1"/>
    <col min="25" max="25" width="10.77734375" bestFit="1" customWidth="1"/>
    <col min="26" max="27" width="7.77734375" bestFit="1" customWidth="1"/>
  </cols>
  <sheetData>
    <row r="1" spans="1:38" ht="20.399999999999999">
      <c r="A1" s="47"/>
      <c r="B1" s="47" t="s">
        <v>29</v>
      </c>
      <c r="C1" s="47" t="s">
        <v>6</v>
      </c>
      <c r="D1" s="47" t="s">
        <v>16</v>
      </c>
      <c r="E1" s="47" t="s">
        <v>4</v>
      </c>
      <c r="F1" s="47" t="s">
        <v>13</v>
      </c>
      <c r="G1" s="47" t="s">
        <v>14</v>
      </c>
      <c r="H1" s="47" t="s">
        <v>3</v>
      </c>
      <c r="I1" s="45" t="s">
        <v>17</v>
      </c>
      <c r="J1" s="46" t="s">
        <v>18</v>
      </c>
      <c r="K1" s="46" t="s">
        <v>19</v>
      </c>
      <c r="L1" s="46" t="s">
        <v>20</v>
      </c>
      <c r="M1" s="45" t="s">
        <v>21</v>
      </c>
      <c r="N1" s="47" t="s">
        <v>12</v>
      </c>
      <c r="O1" s="47" t="s">
        <v>15</v>
      </c>
      <c r="P1" s="49" t="s">
        <v>5</v>
      </c>
      <c r="Q1" s="38" t="s">
        <v>25</v>
      </c>
      <c r="R1" s="38" t="s">
        <v>94</v>
      </c>
      <c r="S1" s="96" t="s">
        <v>9</v>
      </c>
      <c r="T1" s="97"/>
      <c r="U1" s="97"/>
      <c r="V1" s="97"/>
      <c r="W1" s="97"/>
      <c r="X1" s="97"/>
      <c r="Y1" s="31" t="s">
        <v>8</v>
      </c>
      <c r="Z1" s="4" t="s">
        <v>11</v>
      </c>
      <c r="AA1" s="5" t="s">
        <v>7</v>
      </c>
      <c r="AB1" s="35" t="s">
        <v>26</v>
      </c>
      <c r="AC1" s="2"/>
      <c r="AD1" s="2"/>
      <c r="AE1" s="2"/>
      <c r="AF1" s="2"/>
      <c r="AG1" s="16"/>
      <c r="AH1" s="16"/>
      <c r="AI1" s="16"/>
      <c r="AJ1" s="16"/>
      <c r="AK1" s="16"/>
      <c r="AL1" s="16"/>
    </row>
    <row r="2" spans="1:38" ht="29.4">
      <c r="A2" s="6" t="s">
        <v>96</v>
      </c>
      <c r="B2" s="17" t="s">
        <v>100</v>
      </c>
      <c r="C2" s="7">
        <f>VLOOKUP(B2,頭!B3:P10,2,FALSE)</f>
        <v>12</v>
      </c>
      <c r="D2" s="7">
        <f>VLOOKUP(B2,頭!B3:P10,3,FALSE)</f>
        <v>0</v>
      </c>
      <c r="E2" s="7">
        <f>VLOOKUP(B2,頭!B3:P10,4,FALSE)</f>
        <v>16</v>
      </c>
      <c r="F2" s="7">
        <f>VLOOKUP(B2,頭!B3:P10,5,FALSE)</f>
        <v>0</v>
      </c>
      <c r="G2" s="7">
        <f>VLOOKUP(B2,頭!B3:P10,6,FALSE)</f>
        <v>0</v>
      </c>
      <c r="H2" s="7">
        <f>VLOOKUP(B2,頭!B3:P10,7,FALSE)</f>
        <v>0</v>
      </c>
      <c r="I2" s="7">
        <f>VLOOKUP(B2,頭!B3:P10,8,FALSE)</f>
        <v>45</v>
      </c>
      <c r="J2" s="7">
        <f>VLOOKUP(B2,頭!B3:P10,9,FALSE)</f>
        <v>0</v>
      </c>
      <c r="K2" s="7">
        <f>VLOOKUP(B2,頭!B3:P10,10,FALSE)</f>
        <v>0</v>
      </c>
      <c r="L2" s="7">
        <f>VLOOKUP(B2,頭!B3:P10,11,FALSE)</f>
        <v>0</v>
      </c>
      <c r="M2" s="7">
        <f>VLOOKUP(B2,頭!B3:P10,12,FALSE)</f>
        <v>0</v>
      </c>
      <c r="N2" s="7">
        <f>VLOOKUP(B2,頭!B3:P10,13,FALSE)</f>
        <v>0</v>
      </c>
      <c r="O2" s="7">
        <f>VLOOKUP(B2,頭!B3:P10,14,FALSE)</f>
        <v>29</v>
      </c>
      <c r="P2" s="7">
        <f>VLOOKUP(B2,頭!B3:P10,15,FALSE)</f>
        <v>0</v>
      </c>
      <c r="Q2" s="1"/>
      <c r="R2" s="1">
        <f>VLOOKUP(B2,頭!B3:Q9,16,FALSE)</f>
        <v>0</v>
      </c>
      <c r="S2" s="32" t="s">
        <v>13</v>
      </c>
      <c r="T2" s="48">
        <v>29</v>
      </c>
      <c r="U2" s="32" t="s">
        <v>18</v>
      </c>
      <c r="V2" s="48"/>
      <c r="W2" s="1">
        <v>26</v>
      </c>
      <c r="X2" s="1"/>
      <c r="Y2" s="28" t="s">
        <v>6</v>
      </c>
      <c r="Z2" s="1">
        <v>14</v>
      </c>
      <c r="AA2" s="30">
        <v>6</v>
      </c>
      <c r="AB2" s="29"/>
      <c r="AC2" s="2"/>
      <c r="AD2" s="2"/>
      <c r="AE2" s="2"/>
      <c r="AF2" s="2"/>
      <c r="AG2" s="16"/>
      <c r="AH2" s="16"/>
      <c r="AI2" s="16"/>
      <c r="AJ2" s="16"/>
      <c r="AK2" s="16"/>
      <c r="AL2" s="16"/>
    </row>
    <row r="3" spans="1:38" ht="29.4">
      <c r="A3" s="8" t="s">
        <v>0</v>
      </c>
      <c r="B3" s="18" t="s">
        <v>101</v>
      </c>
      <c r="C3" s="7">
        <f>VLOOKUP(B3,身!B3:P10,2,FALSE)</f>
        <v>0</v>
      </c>
      <c r="D3" s="7">
        <f>VLOOKUP(B3,身!B3:P10,3,FALSE)</f>
        <v>0</v>
      </c>
      <c r="E3" s="7">
        <f>VLOOKUP(B3,身!B3:P10,4,FALSE)</f>
        <v>8</v>
      </c>
      <c r="F3" s="7">
        <f>VLOOKUP(B3,身!B3:P10,5,FALSE)</f>
        <v>0</v>
      </c>
      <c r="G3" s="7">
        <f>VLOOKUP(B3,身!B3:P10,6,FALSE)</f>
        <v>0</v>
      </c>
      <c r="H3" s="7">
        <f>VLOOKUP(B3,身!B3:P10,7,FALSE)</f>
        <v>0</v>
      </c>
      <c r="I3" s="7">
        <f>VLOOKUP(B3,身!B3:P10,8,FALSE)</f>
        <v>40</v>
      </c>
      <c r="J3" s="7">
        <f>VLOOKUP(B3,身!B3:P10,9,FALSE)</f>
        <v>0</v>
      </c>
      <c r="K3" s="7">
        <f>VLOOKUP(B3,身!B3:P10,10,FALSE)</f>
        <v>0</v>
      </c>
      <c r="L3" s="7">
        <f>VLOOKUP(B3,身!B3:P10,11,FALSE)</f>
        <v>0</v>
      </c>
      <c r="M3" s="7">
        <f>VLOOKUP(B3,身!B3:P10,12,FALSE)</f>
        <v>0</v>
      </c>
      <c r="N3" s="7">
        <f>VLOOKUP(B3,身!B3:P10,13,FALSE)</f>
        <v>40</v>
      </c>
      <c r="O3" s="7">
        <f>VLOOKUP(B3,身!B3:P10,14,FALSE)</f>
        <v>26</v>
      </c>
      <c r="P3" s="7">
        <f>VLOOKUP(B3,身!B3:P10,15,FALSE)</f>
        <v>0</v>
      </c>
      <c r="Q3" s="1"/>
      <c r="R3" s="1">
        <f>VLOOKUP(B3,身!B3:Q10,16,FALSE)</f>
        <v>0</v>
      </c>
      <c r="S3" s="32" t="s">
        <v>15</v>
      </c>
      <c r="T3" s="48">
        <v>29</v>
      </c>
      <c r="U3" s="32" t="s">
        <v>3</v>
      </c>
      <c r="V3" s="48"/>
      <c r="W3" s="1">
        <v>29</v>
      </c>
      <c r="X3" s="1">
        <v>21</v>
      </c>
      <c r="Y3" s="28" t="s">
        <v>16</v>
      </c>
      <c r="Z3" s="1">
        <v>14</v>
      </c>
      <c r="AA3" s="30">
        <v>6</v>
      </c>
      <c r="AB3" s="29"/>
      <c r="AC3" s="2"/>
      <c r="AD3" s="2"/>
      <c r="AE3" s="2"/>
      <c r="AF3" s="2"/>
      <c r="AG3" s="16"/>
      <c r="AH3" s="16"/>
      <c r="AI3" s="16"/>
      <c r="AJ3" s="16"/>
      <c r="AK3" s="16"/>
      <c r="AL3" s="16"/>
    </row>
    <row r="4" spans="1:38" ht="29.4">
      <c r="A4" s="9" t="s">
        <v>1</v>
      </c>
      <c r="B4" s="19" t="s">
        <v>102</v>
      </c>
      <c r="C4" s="7">
        <f>VLOOKUP(B4,手!B3:P10,2,FALSE)</f>
        <v>10</v>
      </c>
      <c r="D4" s="7">
        <f>VLOOKUP(B4,手!B3:P10,3,FALSE)</f>
        <v>16</v>
      </c>
      <c r="E4" s="7">
        <f>VLOOKUP(B4,手!B3:P10,4,FALSE)</f>
        <v>0</v>
      </c>
      <c r="F4" s="7">
        <f>VLOOKUP(B4,手!B3:P10,5,FALSE)</f>
        <v>0</v>
      </c>
      <c r="G4" s="7">
        <f>VLOOKUP(B4,手!B3:P10,6,FALSE)</f>
        <v>0</v>
      </c>
      <c r="H4" s="7">
        <f>VLOOKUP(B4,手!B3:P10,7,FALSE)</f>
        <v>0</v>
      </c>
      <c r="I4" s="7">
        <f>VLOOKUP(B4,手!B3:P10,8,FALSE)</f>
        <v>45</v>
      </c>
      <c r="J4" s="7">
        <f>VLOOKUP(B4,手!B3:P10,9,FALSE)</f>
        <v>0</v>
      </c>
      <c r="K4" s="7">
        <f>VLOOKUP(B4,手!B3:P10,10,FALSE)</f>
        <v>0</v>
      </c>
      <c r="L4" s="7">
        <f>VLOOKUP(B4,手!B3:P10,11,FALSE)</f>
        <v>0</v>
      </c>
      <c r="M4" s="7">
        <f>VLOOKUP(B4,手!B3:P10,12,FALSE)</f>
        <v>0</v>
      </c>
      <c r="N4" s="7">
        <f>VLOOKUP(B4,手!B3:P10,13,FALSE)</f>
        <v>45</v>
      </c>
      <c r="O4" s="7">
        <f>VLOOKUP(B4,手!B3:P10,14,FALSE)</f>
        <v>0</v>
      </c>
      <c r="P4" s="7">
        <f>VLOOKUP(B4,手!B3:P10,15,FALSE)</f>
        <v>0</v>
      </c>
      <c r="Q4" s="1"/>
      <c r="R4" s="1">
        <f>VLOOKUP(B4,手!B3:Q10,16,FALSE)</f>
        <v>0</v>
      </c>
      <c r="S4" s="32" t="s">
        <v>15</v>
      </c>
      <c r="T4" s="48">
        <v>29</v>
      </c>
      <c r="U4" s="32" t="s">
        <v>3</v>
      </c>
      <c r="V4" s="48"/>
      <c r="W4" s="1">
        <v>29</v>
      </c>
      <c r="X4" s="1">
        <v>21</v>
      </c>
      <c r="Y4" s="28" t="s">
        <v>4</v>
      </c>
      <c r="Z4" s="1">
        <v>14</v>
      </c>
      <c r="AA4" s="30">
        <v>6</v>
      </c>
      <c r="AB4" s="29"/>
      <c r="AC4" s="2"/>
      <c r="AD4" s="2"/>
      <c r="AE4" s="2"/>
      <c r="AF4" s="2"/>
      <c r="AG4" s="16"/>
      <c r="AH4" s="16"/>
      <c r="AI4" s="16"/>
      <c r="AJ4" s="16"/>
      <c r="AK4" s="16"/>
      <c r="AL4" s="16"/>
    </row>
    <row r="5" spans="1:38" ht="29.4">
      <c r="A5" s="10" t="s">
        <v>2</v>
      </c>
      <c r="B5" s="20" t="s">
        <v>103</v>
      </c>
      <c r="C5" s="7">
        <f>VLOOKUP(B5,腳!B3:P10,2,FALSE)</f>
        <v>14</v>
      </c>
      <c r="D5" s="7">
        <f>VLOOKUP(B5,腳!B3:P10,3,FALSE)</f>
        <v>0</v>
      </c>
      <c r="E5" s="7">
        <f>VLOOKUP(B5,腳!B3:P10,4,FALSE)</f>
        <v>0</v>
      </c>
      <c r="F5" s="7">
        <f>VLOOKUP(B5,腳!B3:P10,5,FALSE)</f>
        <v>0</v>
      </c>
      <c r="G5" s="7">
        <f>VLOOKUP(B5,腳!B3:P10,6,FALSE)</f>
        <v>0</v>
      </c>
      <c r="H5" s="7">
        <f>VLOOKUP(B5,腳!B3:P10,7,FALSE)</f>
        <v>0</v>
      </c>
      <c r="I5" s="7">
        <f>VLOOKUP(B5,腳!B3:P10,8,FALSE)</f>
        <v>45</v>
      </c>
      <c r="J5" s="7">
        <f>VLOOKUP(B5,腳!B3:P10,9,FALSE)</f>
        <v>0</v>
      </c>
      <c r="K5" s="7">
        <f>VLOOKUP(B5,腳!B3:P10,10,FALSE)</f>
        <v>0</v>
      </c>
      <c r="L5" s="7">
        <f>VLOOKUP(B5,腳!B3:P10,11,FALSE)</f>
        <v>0</v>
      </c>
      <c r="M5" s="7">
        <f>VLOOKUP(B5,腳!B3:P10,12,FALSE)</f>
        <v>0</v>
      </c>
      <c r="N5" s="7">
        <f>VLOOKUP(B5,腳!B3:P10,13,FALSE)</f>
        <v>45</v>
      </c>
      <c r="O5" s="7">
        <f>VLOOKUP(B5,腳!B3:P10,14,FALSE)</f>
        <v>29</v>
      </c>
      <c r="P5" s="7">
        <f>VLOOKUP(B5,腳!B3:P10,15,FALSE)</f>
        <v>0</v>
      </c>
      <c r="Q5" s="1"/>
      <c r="R5" s="1">
        <f>VLOOKUP(B5,腳!B3:Q10,16,FALSE)</f>
        <v>0</v>
      </c>
      <c r="S5" s="32" t="s">
        <v>15</v>
      </c>
      <c r="T5" s="48">
        <v>29</v>
      </c>
      <c r="U5" s="32" t="s">
        <v>3</v>
      </c>
      <c r="V5" s="48"/>
      <c r="W5" s="1">
        <v>29</v>
      </c>
      <c r="X5" s="1">
        <v>21</v>
      </c>
      <c r="Y5" s="28" t="s">
        <v>13</v>
      </c>
      <c r="Z5" s="1">
        <v>26</v>
      </c>
      <c r="AA5" s="30">
        <v>24</v>
      </c>
      <c r="AB5" s="29">
        <v>26</v>
      </c>
      <c r="AC5" s="2"/>
      <c r="AD5" s="2"/>
      <c r="AE5" s="2"/>
      <c r="AF5" s="2"/>
      <c r="AG5" s="16"/>
      <c r="AH5" s="16"/>
      <c r="AI5" s="16"/>
      <c r="AJ5" s="16"/>
      <c r="AK5" s="16"/>
      <c r="AL5" s="16"/>
    </row>
    <row r="6" spans="1:38" ht="29.4">
      <c r="A6" s="11" t="s">
        <v>97</v>
      </c>
      <c r="B6" s="21" t="s">
        <v>105</v>
      </c>
      <c r="C6" s="7">
        <f>VLOOKUP(B6,腰!B3:P10,2,FALSE)</f>
        <v>13</v>
      </c>
      <c r="D6" s="7">
        <f>VLOOKUP(B6,腰!B3:P10,3,FALSE)</f>
        <v>11</v>
      </c>
      <c r="E6" s="7">
        <f>VLOOKUP(B6,腰!B3:P10,4,FALSE)</f>
        <v>0</v>
      </c>
      <c r="F6" s="7">
        <f>VLOOKUP(B6,腰!B3:P10,5,FALSE)</f>
        <v>0</v>
      </c>
      <c r="G6" s="7">
        <f>VLOOKUP(B6,腰!B3:P10,6,FALSE)</f>
        <v>0</v>
      </c>
      <c r="H6" s="7">
        <f>VLOOKUP(B6,腰!B3:P10,7,FALSE)</f>
        <v>0</v>
      </c>
      <c r="I6" s="7">
        <f>VLOOKUP(B6,腰!B3:P10,8,FALSE)</f>
        <v>40</v>
      </c>
      <c r="J6" s="7">
        <f>VLOOKUP(B6,腰!B3:P10,9,FALSE)</f>
        <v>0</v>
      </c>
      <c r="K6" s="7">
        <f>VLOOKUP(B6,腰!B3:P10,10,FALSE)</f>
        <v>0</v>
      </c>
      <c r="L6" s="7">
        <f>VLOOKUP(B6,腰!B3:P10,11,FALSE)</f>
        <v>0</v>
      </c>
      <c r="M6" s="7">
        <f>VLOOKUP(B6,腰!B3:P10,12,FALSE)</f>
        <v>0</v>
      </c>
      <c r="N6" s="7">
        <f>VLOOKUP(B6,腰!B3:P10,13,FALSE)</f>
        <v>0</v>
      </c>
      <c r="O6" s="7">
        <f>VLOOKUP(B6,腰!B3:P10,14,FALSE)</f>
        <v>15</v>
      </c>
      <c r="P6" s="7">
        <f>VLOOKUP(B6,腰!B3:P10,15,FALSE)</f>
        <v>0</v>
      </c>
      <c r="Q6" s="1"/>
      <c r="R6" s="1">
        <f>VLOOKUP(B6,腰!B3:Q11,16,FALSE)</f>
        <v>0</v>
      </c>
      <c r="S6" s="32" t="s">
        <v>13</v>
      </c>
      <c r="T6" s="48"/>
      <c r="U6" s="32" t="s">
        <v>18</v>
      </c>
      <c r="V6" s="48"/>
      <c r="W6" s="1">
        <v>26</v>
      </c>
      <c r="X6" s="1">
        <v>40</v>
      </c>
      <c r="Y6" s="28" t="s">
        <v>14</v>
      </c>
      <c r="Z6" s="1">
        <v>26</v>
      </c>
      <c r="AA6" s="30">
        <v>24</v>
      </c>
      <c r="AB6" s="29"/>
      <c r="AC6" s="2"/>
      <c r="AD6" s="2"/>
      <c r="AE6" s="2"/>
      <c r="AF6" s="2"/>
      <c r="AG6" s="16"/>
      <c r="AH6" s="16"/>
      <c r="AI6" s="16"/>
      <c r="AJ6" s="16"/>
      <c r="AK6" s="16"/>
      <c r="AL6" s="16"/>
    </row>
    <row r="7" spans="1:38" ht="29.4">
      <c r="A7" s="12" t="s">
        <v>98</v>
      </c>
      <c r="B7" s="22" t="s">
        <v>106</v>
      </c>
      <c r="C7" s="7">
        <f>VLOOKUP(B7,項鍊!B3:P10,2,FALSE)</f>
        <v>0</v>
      </c>
      <c r="D7" s="7">
        <f>VLOOKUP(B7,項鍊!B3:P10,3,FALSE)</f>
        <v>14</v>
      </c>
      <c r="E7" s="7">
        <f>VLOOKUP(B7,項鍊!B3:P10,4,FALSE)</f>
        <v>0</v>
      </c>
      <c r="F7" s="7">
        <f>VLOOKUP(B7,項鍊!B3:P10,5,FALSE)</f>
        <v>0</v>
      </c>
      <c r="G7" s="7">
        <f>VLOOKUP(B7,項鍊!B3:P10,6,FALSE)</f>
        <v>0</v>
      </c>
      <c r="H7" s="7">
        <f>VLOOKUP(B7,項鍊!B3:P10,7,FALSE)</f>
        <v>0</v>
      </c>
      <c r="I7" s="7">
        <f>VLOOKUP(B7,項鍊!B3:P10,8,FALSE)</f>
        <v>40</v>
      </c>
      <c r="J7" s="7">
        <f>VLOOKUP(B7,項鍊!B3:P10,9,FALSE)</f>
        <v>0</v>
      </c>
      <c r="K7" s="7">
        <f>VLOOKUP(B7,項鍊!B3:P10,10,FALSE)</f>
        <v>0</v>
      </c>
      <c r="L7" s="7">
        <f>VLOOKUP(B7,項鍊!B3:P10,11,FALSE)</f>
        <v>0</v>
      </c>
      <c r="M7" s="7">
        <f>VLOOKUP(B7,項鍊!B3:P10,12,FALSE)</f>
        <v>0</v>
      </c>
      <c r="N7" s="7">
        <f>VLOOKUP(B7,項鍊!B3:P10,13,FALSE)</f>
        <v>40</v>
      </c>
      <c r="O7" s="7">
        <f>VLOOKUP(B7,項鍊!B3:P10,14,FALSE)</f>
        <v>26</v>
      </c>
      <c r="P7" s="7">
        <f>VLOOKUP(B7,項鍊!B3:P10,15,FALSE)</f>
        <v>0</v>
      </c>
      <c r="Q7" s="1"/>
      <c r="R7" s="1">
        <f>VLOOKUP(B7,項鍊!B3:Q12,16,FALSE)</f>
        <v>0</v>
      </c>
      <c r="S7" s="32" t="s">
        <v>12</v>
      </c>
      <c r="T7" s="48">
        <v>40</v>
      </c>
      <c r="U7" s="32" t="s">
        <v>4</v>
      </c>
      <c r="V7" s="48"/>
      <c r="W7" s="1">
        <v>40</v>
      </c>
      <c r="X7" s="1">
        <v>14</v>
      </c>
      <c r="Y7" s="28" t="s">
        <v>3</v>
      </c>
      <c r="Z7" s="1">
        <v>19</v>
      </c>
      <c r="AA7" s="30">
        <v>12</v>
      </c>
      <c r="AB7" s="29"/>
      <c r="AC7" s="2"/>
      <c r="AD7" s="2"/>
      <c r="AE7" s="2"/>
      <c r="AF7" s="2"/>
      <c r="AG7" s="16"/>
      <c r="AH7" s="16"/>
      <c r="AI7" s="16"/>
      <c r="AJ7" s="16"/>
      <c r="AK7" s="16"/>
      <c r="AL7" s="16"/>
    </row>
    <row r="8" spans="1:38" ht="29.4">
      <c r="A8" s="13" t="s">
        <v>99</v>
      </c>
      <c r="B8" s="23" t="s">
        <v>104</v>
      </c>
      <c r="C8" s="37">
        <f>VLOOKUP(B8,戒指!B3:P10,2,FALSE)</f>
        <v>0</v>
      </c>
      <c r="D8" s="37">
        <f>VLOOKUP(B8,戒指!B3:P10,3,FALSE)</f>
        <v>0</v>
      </c>
      <c r="E8" s="37">
        <f>VLOOKUP(B8,戒指!B3:P10,4,FALSE)</f>
        <v>0</v>
      </c>
      <c r="F8" s="37">
        <f>VLOOKUP(B8,戒指!B3:P10,5,FALSE)</f>
        <v>0</v>
      </c>
      <c r="G8" s="37">
        <f>VLOOKUP(B8,戒指!B3:P10,6,FALSE)</f>
        <v>0</v>
      </c>
      <c r="H8" s="37">
        <f>VLOOKUP(B8,戒指!B3:P10,7,FALSE)</f>
        <v>0</v>
      </c>
      <c r="I8" s="37">
        <f>VLOOKUP(B8,戒指!B3:P10,8,FALSE)</f>
        <v>40</v>
      </c>
      <c r="J8" s="37">
        <f>VLOOKUP(B8,戒指!B3:P10,9,FALSE)</f>
        <v>0</v>
      </c>
      <c r="K8" s="37">
        <f>VLOOKUP(B8,戒指!B3:P10,10,FALSE)</f>
        <v>0</v>
      </c>
      <c r="L8" s="37">
        <f>VLOOKUP(B8,戒指!B3:P10,11,FALSE)</f>
        <v>0</v>
      </c>
      <c r="M8" s="37">
        <f>VLOOKUP(B8,戒指!B3:P10,12,FALSE)</f>
        <v>0</v>
      </c>
      <c r="N8" s="37">
        <f>VLOOKUP(B8,戒指!B3:P10,13,FALSE)</f>
        <v>40</v>
      </c>
      <c r="O8" s="37">
        <f>VLOOKUP(B8,戒指!B3:P10,14,FALSE)</f>
        <v>26</v>
      </c>
      <c r="P8" s="37">
        <f>VLOOKUP(B8,戒指!B3:P10,15,FALSE)</f>
        <v>10</v>
      </c>
      <c r="Q8" s="1"/>
      <c r="R8" s="1">
        <f>VLOOKUP(B8,戒指!B3:Q13,16,FALSE)</f>
        <v>0</v>
      </c>
      <c r="S8" s="32" t="s">
        <v>12</v>
      </c>
      <c r="T8" s="48">
        <v>40</v>
      </c>
      <c r="U8" s="32" t="s">
        <v>4</v>
      </c>
      <c r="V8" s="48"/>
      <c r="W8" s="1">
        <v>40</v>
      </c>
      <c r="X8" s="1">
        <v>14</v>
      </c>
      <c r="Y8" s="28" t="s">
        <v>17</v>
      </c>
      <c r="Z8" s="1">
        <v>40</v>
      </c>
      <c r="AA8" s="30">
        <v>28</v>
      </c>
      <c r="AB8" s="29">
        <v>40</v>
      </c>
      <c r="AC8" s="2"/>
      <c r="AD8" s="2"/>
      <c r="AE8" s="2"/>
      <c r="AF8" s="2"/>
      <c r="AG8" s="16"/>
      <c r="AH8" s="16"/>
      <c r="AI8" s="16"/>
      <c r="AJ8" s="16"/>
      <c r="AK8" s="16"/>
      <c r="AL8" s="16"/>
    </row>
    <row r="9" spans="1:38" ht="29.4">
      <c r="A9" s="27" t="s">
        <v>7</v>
      </c>
      <c r="B9" s="36"/>
      <c r="C9" s="38"/>
      <c r="D9" s="38">
        <v>6</v>
      </c>
      <c r="E9" s="38">
        <v>6</v>
      </c>
      <c r="F9" s="38">
        <v>23</v>
      </c>
      <c r="G9" s="38">
        <v>23</v>
      </c>
      <c r="H9" s="38"/>
      <c r="I9" s="43">
        <v>28</v>
      </c>
      <c r="J9" s="43"/>
      <c r="K9" s="43"/>
      <c r="L9" s="43"/>
      <c r="M9" s="43"/>
      <c r="N9" s="38">
        <v>27</v>
      </c>
      <c r="O9" s="38">
        <v>23</v>
      </c>
      <c r="P9" s="38"/>
      <c r="Q9" s="38">
        <v>12</v>
      </c>
      <c r="R9" s="38"/>
      <c r="S9" s="96" t="s">
        <v>27</v>
      </c>
      <c r="T9" s="97"/>
      <c r="U9" s="97"/>
      <c r="V9" s="97"/>
      <c r="W9" s="97"/>
      <c r="X9" s="97"/>
      <c r="Y9" s="28" t="s">
        <v>18</v>
      </c>
      <c r="Z9" s="1">
        <v>40</v>
      </c>
      <c r="AA9" s="30">
        <v>28</v>
      </c>
      <c r="AB9" s="29">
        <v>40</v>
      </c>
      <c r="AC9" s="2"/>
      <c r="AD9" s="2"/>
      <c r="AE9" s="2"/>
      <c r="AF9" s="2"/>
      <c r="AG9" s="16"/>
      <c r="AH9" s="16"/>
      <c r="AI9" s="16"/>
      <c r="AJ9" s="16"/>
      <c r="AK9" s="16"/>
      <c r="AL9" s="16"/>
    </row>
    <row r="10" spans="1:38" ht="29.4">
      <c r="A10" s="27" t="s">
        <v>32</v>
      </c>
      <c r="B10" s="36" t="s">
        <v>95</v>
      </c>
      <c r="C10" s="38"/>
      <c r="D10" s="38"/>
      <c r="E10" s="38">
        <v>11</v>
      </c>
      <c r="F10" s="38"/>
      <c r="G10" s="38"/>
      <c r="H10" s="38"/>
      <c r="I10" s="43">
        <v>40</v>
      </c>
      <c r="J10" s="43"/>
      <c r="K10" s="43"/>
      <c r="L10" s="43"/>
      <c r="M10" s="43"/>
      <c r="N10" s="38">
        <v>40</v>
      </c>
      <c r="O10" s="38"/>
      <c r="P10" s="38"/>
      <c r="Q10" s="38"/>
      <c r="R10" s="38"/>
      <c r="S10" s="71"/>
      <c r="T10" s="72"/>
      <c r="U10" s="74"/>
      <c r="V10" s="72"/>
      <c r="W10" s="74"/>
      <c r="X10" s="74"/>
      <c r="Y10" s="28"/>
      <c r="Z10" s="1"/>
      <c r="AA10" s="30"/>
      <c r="AB10" s="29"/>
      <c r="AC10" s="2"/>
      <c r="AD10" s="2"/>
      <c r="AE10" s="2"/>
      <c r="AF10" s="2"/>
      <c r="AG10" s="16"/>
      <c r="AH10" s="16"/>
      <c r="AI10" s="16"/>
      <c r="AJ10" s="16"/>
      <c r="AK10" s="16"/>
      <c r="AL10" s="16"/>
    </row>
    <row r="11" spans="1:38" ht="20.399999999999999">
      <c r="A11" s="98" t="s">
        <v>10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59"/>
      <c r="S11" s="32" t="s">
        <v>12</v>
      </c>
      <c r="T11" s="48">
        <v>80</v>
      </c>
      <c r="U11" s="1" t="s">
        <v>13</v>
      </c>
      <c r="V11" s="48"/>
      <c r="W11" s="1">
        <v>80</v>
      </c>
      <c r="X11" s="1">
        <v>52</v>
      </c>
      <c r="Y11" s="28" t="s">
        <v>19</v>
      </c>
      <c r="Z11" s="1">
        <v>40</v>
      </c>
      <c r="AA11" s="30">
        <v>28</v>
      </c>
      <c r="AB11" s="29"/>
      <c r="AC11" s="2"/>
      <c r="AD11" s="2"/>
      <c r="AE11" s="2"/>
      <c r="AF11" s="2"/>
      <c r="AG11" s="16"/>
      <c r="AH11" s="16"/>
      <c r="AI11" s="16"/>
      <c r="AJ11" s="16"/>
      <c r="AK11" s="16"/>
      <c r="AL11" s="16"/>
    </row>
    <row r="12" spans="1:38" ht="20.399999999999999">
      <c r="A12" s="14"/>
      <c r="B12" s="14"/>
      <c r="C12" s="15" t="s">
        <v>6</v>
      </c>
      <c r="D12" s="15" t="s">
        <v>16</v>
      </c>
      <c r="E12" s="15" t="s">
        <v>4</v>
      </c>
      <c r="F12" s="15" t="s">
        <v>13</v>
      </c>
      <c r="G12" s="15" t="s">
        <v>14</v>
      </c>
      <c r="H12" s="15" t="s">
        <v>3</v>
      </c>
      <c r="I12" s="15" t="s">
        <v>17</v>
      </c>
      <c r="J12" s="15" t="s">
        <v>18</v>
      </c>
      <c r="K12" s="15" t="s">
        <v>19</v>
      </c>
      <c r="L12" s="15" t="s">
        <v>20</v>
      </c>
      <c r="M12" s="15" t="s">
        <v>21</v>
      </c>
      <c r="N12" s="15" t="s">
        <v>12</v>
      </c>
      <c r="O12" s="15" t="s">
        <v>15</v>
      </c>
      <c r="P12" s="15" t="s">
        <v>5</v>
      </c>
      <c r="Q12" s="33" t="s">
        <v>25</v>
      </c>
      <c r="R12" s="73" t="s">
        <v>94</v>
      </c>
      <c r="S12" s="1"/>
      <c r="T12" s="1"/>
      <c r="U12" s="1"/>
      <c r="V12" s="1"/>
      <c r="W12" s="1"/>
      <c r="X12" s="1"/>
      <c r="Y12" s="28" t="s">
        <v>20</v>
      </c>
      <c r="Z12" s="1">
        <v>40</v>
      </c>
      <c r="AA12" s="30">
        <v>28</v>
      </c>
      <c r="AB12" s="29"/>
      <c r="AC12" s="2"/>
      <c r="AD12" s="2"/>
      <c r="AE12" s="2"/>
      <c r="AF12" s="2"/>
      <c r="AG12" s="16"/>
      <c r="AH12" s="16"/>
      <c r="AI12" s="16"/>
      <c r="AJ12" s="16"/>
      <c r="AK12" s="16"/>
      <c r="AL12" s="16"/>
    </row>
    <row r="13" spans="1:38" ht="20.399999999999999">
      <c r="A13" s="14"/>
      <c r="B13" s="14"/>
      <c r="C13" s="55">
        <f>SUM(C2:C9)%</f>
        <v>0.49</v>
      </c>
      <c r="D13" s="51">
        <f>SUM(D2:D9)</f>
        <v>47</v>
      </c>
      <c r="E13" s="51">
        <f>SUM(E2:E10,V7:V8)</f>
        <v>41</v>
      </c>
      <c r="F13" s="51">
        <f>SUM(F2:F9,T2,T6,V11)</f>
        <v>52</v>
      </c>
      <c r="G13" s="51">
        <f>SUM(G2:G9)</f>
        <v>23</v>
      </c>
      <c r="H13" s="51">
        <f>SUM(H2:H9,V3:V5)</f>
        <v>0</v>
      </c>
      <c r="I13" s="15">
        <f>SUM(I2:I10,X2)</f>
        <v>363</v>
      </c>
      <c r="J13" s="15">
        <f>SUM(J2:J9,V2,V6)</f>
        <v>0</v>
      </c>
      <c r="K13" s="15">
        <f>SUM(K2:K9)</f>
        <v>0</v>
      </c>
      <c r="L13" s="15">
        <f>SUM(L2:L9)</f>
        <v>0</v>
      </c>
      <c r="M13" s="15">
        <f>SUM(M2:M9)</f>
        <v>0</v>
      </c>
      <c r="N13" s="15">
        <f>SUM(N2:N9,T7:T8,T11)</f>
        <v>397</v>
      </c>
      <c r="O13" s="15">
        <f>SUM(O2:O10,T3:T5)</f>
        <v>261</v>
      </c>
      <c r="P13" s="15">
        <f>SUM(P2:P10)</f>
        <v>10</v>
      </c>
      <c r="Q13" s="50"/>
      <c r="R13" s="50">
        <f>SUM(R2:R8)</f>
        <v>0</v>
      </c>
      <c r="S13" s="93" t="s">
        <v>28</v>
      </c>
      <c r="T13" s="94"/>
      <c r="U13" s="94"/>
      <c r="V13" s="94"/>
      <c r="W13" s="1"/>
      <c r="X13" s="1"/>
      <c r="Y13" s="28" t="s">
        <v>21</v>
      </c>
      <c r="Z13" s="1">
        <v>40</v>
      </c>
      <c r="AA13" s="30">
        <v>28</v>
      </c>
      <c r="AB13" s="29"/>
      <c r="AC13" s="2"/>
      <c r="AD13" s="2"/>
      <c r="AE13" s="2"/>
      <c r="AF13" s="2"/>
      <c r="AG13" s="16"/>
      <c r="AH13" s="16"/>
      <c r="AI13" s="16"/>
      <c r="AJ13" s="16"/>
      <c r="AK13" s="16"/>
      <c r="AL13" s="16"/>
    </row>
    <row r="14" spans="1:38" ht="20.399999999999999">
      <c r="A14" s="1"/>
      <c r="B14" s="52" t="s">
        <v>23</v>
      </c>
      <c r="C14" s="52" t="s">
        <v>24</v>
      </c>
      <c r="D14" s="52">
        <v>35</v>
      </c>
      <c r="E14" s="52">
        <v>40</v>
      </c>
      <c r="F14" s="52"/>
      <c r="G14" s="52"/>
      <c r="H14" s="52">
        <v>100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95">
        <f>SUM(N13,MAX(I13:M13))</f>
        <v>760</v>
      </c>
      <c r="T14" s="94"/>
      <c r="U14" s="94"/>
      <c r="V14" s="94"/>
      <c r="W14" s="1"/>
      <c r="X14" s="1"/>
      <c r="Y14" s="28" t="s">
        <v>12</v>
      </c>
      <c r="Z14" s="1">
        <v>40</v>
      </c>
      <c r="AA14" s="30">
        <v>28</v>
      </c>
      <c r="AB14" s="29">
        <v>40</v>
      </c>
      <c r="AC14" s="2"/>
      <c r="AD14" s="2"/>
      <c r="AE14" s="2"/>
      <c r="AF14" s="2"/>
      <c r="AG14" s="16"/>
      <c r="AH14" s="16"/>
      <c r="AI14" s="16"/>
      <c r="AJ14" s="16"/>
      <c r="AK14" s="16"/>
      <c r="AL14" s="16"/>
    </row>
    <row r="15" spans="1:38" ht="25.8">
      <c r="A15" s="91" t="s">
        <v>30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58"/>
      <c r="S15" s="1"/>
      <c r="T15" s="1"/>
      <c r="U15" s="1"/>
      <c r="V15" s="1"/>
      <c r="W15" s="1"/>
      <c r="X15" s="1"/>
      <c r="Y15" s="28" t="s">
        <v>15</v>
      </c>
      <c r="Z15" s="1">
        <v>26</v>
      </c>
      <c r="AA15" s="30">
        <v>24</v>
      </c>
      <c r="AB15" s="29">
        <v>26</v>
      </c>
      <c r="AC15" s="2"/>
      <c r="AD15" s="2"/>
      <c r="AE15" s="2"/>
      <c r="AF15" s="2"/>
      <c r="AG15" s="16"/>
      <c r="AH15" s="16"/>
      <c r="AI15" s="16"/>
      <c r="AJ15" s="16"/>
      <c r="AK15" s="16"/>
      <c r="AL15" s="16"/>
    </row>
    <row r="16" spans="1:38" ht="25.8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58"/>
      <c r="S16" s="1"/>
      <c r="T16" s="1"/>
      <c r="U16" s="1"/>
      <c r="V16" s="1"/>
      <c r="W16" s="1"/>
      <c r="X16" s="1"/>
      <c r="Y16" s="31" t="s">
        <v>5</v>
      </c>
      <c r="Z16" s="4">
        <v>19</v>
      </c>
      <c r="AA16" s="5">
        <v>12</v>
      </c>
      <c r="AB16" s="3"/>
      <c r="AC16" s="2"/>
      <c r="AD16" s="2"/>
      <c r="AE16" s="2"/>
      <c r="AF16" s="2"/>
      <c r="AG16" s="16"/>
      <c r="AH16" s="16"/>
      <c r="AI16" s="16"/>
      <c r="AJ16" s="16"/>
      <c r="AK16" s="16"/>
      <c r="AL16" s="16"/>
    </row>
    <row r="17" spans="1:38" ht="20.399999999999999">
      <c r="A17" s="2"/>
      <c r="B17" s="2"/>
      <c r="C17" s="2"/>
      <c r="D17" s="90"/>
      <c r="E17" s="90"/>
      <c r="F17" s="90"/>
      <c r="G17" s="90"/>
      <c r="H17" s="90"/>
      <c r="I17" s="90"/>
      <c r="J17" s="90"/>
      <c r="K17" s="90"/>
      <c r="L17" s="9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16"/>
      <c r="AH17" s="16"/>
      <c r="AI17" s="16"/>
      <c r="AJ17" s="16"/>
      <c r="AK17" s="16"/>
      <c r="AL17" s="16"/>
    </row>
    <row r="18" spans="1:38" ht="20.399999999999999">
      <c r="A18" s="2"/>
      <c r="B18" s="2"/>
      <c r="C18" s="2"/>
      <c r="D18" s="90"/>
      <c r="E18" s="90"/>
      <c r="F18" s="90"/>
      <c r="G18" s="90"/>
      <c r="H18" s="90"/>
      <c r="I18" s="90"/>
      <c r="J18" s="90"/>
      <c r="K18" s="90"/>
      <c r="L18" s="9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6"/>
      <c r="AH18" s="16"/>
      <c r="AI18" s="16"/>
      <c r="AJ18" s="16"/>
      <c r="AK18" s="16"/>
      <c r="AL18" s="16"/>
    </row>
    <row r="19" spans="1:38" ht="20.399999999999999">
      <c r="A19" s="2"/>
      <c r="B19" s="2"/>
      <c r="C19" s="2"/>
      <c r="D19" s="90"/>
      <c r="E19" s="90"/>
      <c r="F19" s="90"/>
      <c r="G19" s="90"/>
      <c r="H19" s="90"/>
      <c r="I19" s="90"/>
      <c r="J19" s="90"/>
      <c r="K19" s="90"/>
      <c r="L19" s="9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6"/>
      <c r="AH19" s="16"/>
      <c r="AI19" s="16"/>
      <c r="AJ19" s="16"/>
      <c r="AK19" s="16"/>
      <c r="AL19" s="16"/>
    </row>
    <row r="20" spans="1:38" ht="20.39999999999999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16"/>
      <c r="AH20" s="16"/>
      <c r="AI20" s="16"/>
      <c r="AJ20" s="16"/>
      <c r="AK20" s="16"/>
      <c r="AL20" s="16"/>
    </row>
    <row r="21" spans="1:38" ht="20.39999999999999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6"/>
      <c r="AH21" s="16"/>
      <c r="AI21" s="16"/>
      <c r="AJ21" s="16"/>
      <c r="AK21" s="16"/>
      <c r="AL21" s="16"/>
    </row>
    <row r="22" spans="1:38" ht="16.8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ht="16.8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</sheetData>
  <mergeCells count="7">
    <mergeCell ref="D17:L19"/>
    <mergeCell ref="A15:Q16"/>
    <mergeCell ref="S13:V13"/>
    <mergeCell ref="S14:V14"/>
    <mergeCell ref="S1:X1"/>
    <mergeCell ref="A11:Q11"/>
    <mergeCell ref="S9:X9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部位" xr:uid="{510361D5-8F14-4F7E-B3B0-9350DB82DEE4}">
          <x14:formula1>
            <xm:f>頭!$B$3:$B$12</xm:f>
          </x14:formula1>
          <xm:sqref>B2</xm:sqref>
        </x14:dataValidation>
        <x14:dataValidation type="list" allowBlank="1" showInputMessage="1" showErrorMessage="1" xr:uid="{27827586-7ACE-4BFC-9AAA-BEB826FDEEB5}">
          <x14:formula1>
            <xm:f>戒指!$B$3:$B$10</xm:f>
          </x14:formula1>
          <xm:sqref>B8</xm:sqref>
        </x14:dataValidation>
        <x14:dataValidation type="list" allowBlank="1" showInputMessage="1" showErrorMessage="1" xr:uid="{A713E24B-B694-481B-A15D-15655E1125EC}">
          <x14:formula1>
            <xm:f>身!$B$3:$B$12</xm:f>
          </x14:formula1>
          <xm:sqref>B3</xm:sqref>
        </x14:dataValidation>
        <x14:dataValidation type="list" allowBlank="1" showInputMessage="1" showErrorMessage="1" xr:uid="{A9565005-905B-4A37-BE0C-23C4391896DE}">
          <x14:formula1>
            <xm:f>手!$B$3:$B$10</xm:f>
          </x14:formula1>
          <xm:sqref>B4</xm:sqref>
        </x14:dataValidation>
        <x14:dataValidation type="list" allowBlank="1" showInputMessage="1" showErrorMessage="1" xr:uid="{25DE37D7-C76E-42A0-A2DE-E80DF86192A5}">
          <x14:formula1>
            <xm:f>腳!$B$3:$B$10</xm:f>
          </x14:formula1>
          <xm:sqref>B5</xm:sqref>
        </x14:dataValidation>
        <x14:dataValidation type="list" allowBlank="1" showInputMessage="1" showErrorMessage="1" xr:uid="{46F2C525-E9B6-4363-9167-4E27DC8F9C5D}">
          <x14:formula1>
            <xm:f>腰!$B$3:$B$10</xm:f>
          </x14:formula1>
          <xm:sqref>B6</xm:sqref>
        </x14:dataValidation>
        <x14:dataValidation type="list" allowBlank="1" showInputMessage="1" showErrorMessage="1" xr:uid="{280FF3A6-A7D5-4D30-9DF3-CA3153967B1B}">
          <x14:formula1>
            <xm:f>項鍊!$B$3:$B$10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BD19-2132-449C-8773-DDDA11890A27}">
  <dimension ref="A2:Q12"/>
  <sheetViews>
    <sheetView workbookViewId="0">
      <selection activeCell="Q4" sqref="Q4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4" t="str">
        <f>"手"&amp;A3&amp;C2&amp;C3&amp;"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手1攻速10 致命16 閃避 體力 防禦 減傷 靈長45 BOSS 惡魔 不死 動物 致命傷45 攻擊 吸血</v>
      </c>
      <c r="C3" s="40">
        <v>10</v>
      </c>
      <c r="D3" s="40">
        <v>16</v>
      </c>
      <c r="E3" s="40"/>
      <c r="F3" s="40"/>
      <c r="G3" s="40"/>
      <c r="H3" s="40"/>
      <c r="I3" s="43">
        <v>45</v>
      </c>
      <c r="J3" s="43"/>
      <c r="K3" s="43"/>
      <c r="L3" s="43"/>
      <c r="M3" s="43"/>
      <c r="N3" s="40">
        <v>45</v>
      </c>
      <c r="O3" s="40"/>
      <c r="P3" s="40"/>
      <c r="Q3" s="40"/>
    </row>
    <row r="4" spans="1:17" ht="29.4">
      <c r="A4">
        <v>2</v>
      </c>
      <c r="B4" s="24" t="str">
        <f>"手"&amp;A4&amp;C2&amp;C4&amp;"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手2攻速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4" t="str">
        <f>"手"&amp;A5&amp;C2&amp;C5&amp;"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手3攻速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4" t="str">
        <f>"手"&amp;A6&amp;C2&amp;C6&amp;"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手4攻速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4" t="str">
        <f>"手"&amp;A7&amp;C2&amp;C7&amp;"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手5攻速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4" t="str">
        <f>"手"&amp;A8&amp;C2&amp;C8&amp;"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手6攻速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4" t="str">
        <f>"手"&amp;A9&amp;C2&amp;C9&amp;"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手7攻速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4" t="str">
        <f>"手"&amp;A10&amp;C2&amp;C10&amp;"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手8攻速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4" t="str">
        <f>"手"&amp;A11&amp;C2&amp;C11&amp;"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手9攻速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4" t="str">
        <f>"手"&amp;A12&amp;C2&amp;C12&amp;"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手10攻速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DFDE-B8A4-4A2A-A4FF-66F9CF6B6DEF}">
  <dimension ref="A2:Q12"/>
  <sheetViews>
    <sheetView workbookViewId="0">
      <selection activeCell="Q6" sqref="Q6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6" t="str">
        <f>"身"&amp;A3&amp;C2&amp;C3&amp;"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身1攻速 致命 閃避8 體力 防禦 減傷 靈長40 BOSS 惡魔 不死 動物 致命傷40 攻擊26 吸血</v>
      </c>
      <c r="C3" s="40"/>
      <c r="D3" s="40"/>
      <c r="E3" s="40">
        <v>8</v>
      </c>
      <c r="F3" s="40"/>
      <c r="G3" s="40"/>
      <c r="H3" s="40"/>
      <c r="I3" s="43">
        <v>40</v>
      </c>
      <c r="J3" s="43"/>
      <c r="K3" s="43"/>
      <c r="L3" s="43"/>
      <c r="M3" s="43"/>
      <c r="N3" s="40">
        <v>40</v>
      </c>
      <c r="O3" s="40">
        <v>26</v>
      </c>
      <c r="P3" s="40"/>
      <c r="Q3" s="40"/>
    </row>
    <row r="4" spans="1:17" ht="29.4">
      <c r="A4">
        <v>2</v>
      </c>
      <c r="B4" s="26" t="str">
        <f>"身"&amp;A4&amp;C2&amp;C4&amp;"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身2攻速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6" t="str">
        <f>"身"&amp;A5&amp;C2&amp;C5&amp;"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身3攻速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6" t="str">
        <f>"身"&amp;A6&amp;C2&amp;C6&amp;"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身4攻速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6" t="str">
        <f>"身"&amp;A7&amp;C2&amp;C7&amp;"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身5攻速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6" t="str">
        <f>"身"&amp;A8&amp;C2&amp;C8&amp;"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身6攻速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6" t="str">
        <f>"身"&amp;A9&amp;C2&amp;C9&amp;"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身7攻速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6" t="str">
        <f>"身"&amp;A10&amp;C2&amp;C10&amp;"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身8攻速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6" t="str">
        <f>"身"&amp;A11&amp;C2&amp;C11&amp;"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身9攻速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6" t="str">
        <f>"身"&amp;A12&amp;C2&amp;C12&amp;"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身10攻速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2C92-DEAE-4052-B667-F50610512E63}">
  <dimension ref="A2:Q12"/>
  <sheetViews>
    <sheetView workbookViewId="0">
      <selection activeCell="R6" sqref="R6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4" t="str">
        <f>"腳"&amp;A3&amp;C2&amp;C3&amp;"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腳1攻速14 致命 閃避 體力 防禦 減傷 靈長45 BOSS 惡魔 不死 動物 致命傷45 攻擊29 吸血</v>
      </c>
      <c r="C3" s="40">
        <v>14</v>
      </c>
      <c r="D3" s="40"/>
      <c r="E3" s="40"/>
      <c r="F3" s="40"/>
      <c r="G3" s="40"/>
      <c r="H3" s="40"/>
      <c r="I3" s="43">
        <v>45</v>
      </c>
      <c r="J3" s="43"/>
      <c r="K3" s="43"/>
      <c r="L3" s="43"/>
      <c r="M3" s="43"/>
      <c r="N3" s="40">
        <v>45</v>
      </c>
      <c r="O3" s="40">
        <v>29</v>
      </c>
      <c r="P3" s="40"/>
      <c r="Q3" s="40"/>
    </row>
    <row r="4" spans="1:17" ht="29.4">
      <c r="A4">
        <v>2</v>
      </c>
      <c r="B4" s="24" t="str">
        <f>"腳"&amp;A4&amp;C2&amp;C4&amp;"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腳2攻速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4" t="str">
        <f>"腳"&amp;A5&amp;C2&amp;C5&amp;"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腳3攻速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4" t="str">
        <f>"腳"&amp;A6&amp;C2&amp;C6&amp;"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腳4攻速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4" t="str">
        <f>"腳"&amp;A7&amp;C2&amp;C7&amp;"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腳5攻速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4" t="str">
        <f>"腳"&amp;A8&amp;C2&amp;C8&amp;"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腳6攻速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4" t="str">
        <f>"腳"&amp;A9&amp;C2&amp;C9&amp;"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腳7攻速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4" t="str">
        <f>"腳"&amp;A10&amp;C2&amp;C10&amp;"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腳8攻速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4" t="str">
        <f>"腳"&amp;A11&amp;C2&amp;C11&amp;"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腳9攻速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4" t="str">
        <f>"腳"&amp;A12&amp;C2&amp;C12&amp;"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腳10攻速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89B8-AA07-4619-959C-53352E8D88CC}">
  <dimension ref="A2:Q12"/>
  <sheetViews>
    <sheetView workbookViewId="0">
      <selection activeCell="C4" sqref="C4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4" t="str">
        <f>"腰"&amp;A3&amp;C2&amp;C3&amp;"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腰1攻速13 致命11 閃避 體力 防禦 減傷 靈長40 BOSS 惡魔 不死 動物 致命傷 攻擊15 吸血</v>
      </c>
      <c r="C3" s="40">
        <v>13</v>
      </c>
      <c r="D3" s="40">
        <v>11</v>
      </c>
      <c r="E3" s="40"/>
      <c r="F3" s="40"/>
      <c r="G3" s="40"/>
      <c r="H3" s="40"/>
      <c r="I3" s="43">
        <v>40</v>
      </c>
      <c r="J3" s="43"/>
      <c r="K3" s="43"/>
      <c r="L3" s="43"/>
      <c r="M3" s="43"/>
      <c r="N3" s="40"/>
      <c r="O3" s="40">
        <v>15</v>
      </c>
      <c r="P3" s="40"/>
      <c r="Q3" s="40"/>
    </row>
    <row r="4" spans="1:17" ht="29.4">
      <c r="A4">
        <v>2</v>
      </c>
      <c r="B4" s="24" t="str">
        <f>"腰"&amp;A4&amp;C2&amp;C4&amp;"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腰2攻速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4" t="str">
        <f>"腰"&amp;A5&amp;C2&amp;C5&amp;"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腰3攻速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4" t="str">
        <f>"腰"&amp;A6&amp;C2&amp;C6&amp;"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腰4攻速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4" t="str">
        <f>"腰"&amp;A7&amp;C2&amp;C7&amp;"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腰5攻速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4" t="str">
        <f>"腰"&amp;A8&amp;C2&amp;C8&amp;"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腰6攻速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4" t="str">
        <f>"腰"&amp;A9&amp;C2&amp;C9&amp;"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腰7攻速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4" t="str">
        <f>"腰"&amp;A10&amp;C2&amp;C10&amp;"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腰8攻速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4" t="str">
        <f>"腰"&amp;A11&amp;C2&amp;C11&amp;"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腰9攻速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4" t="str">
        <f>"腰"&amp;A12&amp;C2&amp;C12&amp;"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腰10攻速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FF03-5020-4977-AAF6-790806AA5B23}">
  <dimension ref="A2:Q12"/>
  <sheetViews>
    <sheetView workbookViewId="0">
      <selection activeCell="Q7" sqref="Q7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5" t="str">
        <f>"頭"&amp;A3&amp;C2&amp;C3&amp;"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頭1攻速12 致命 閃避16 體力 防禦 減傷 靈長45 BOSS 惡魔 不死 動物 致命傷 攻擊29 吸血</v>
      </c>
      <c r="C3" s="40">
        <v>12</v>
      </c>
      <c r="D3" s="40"/>
      <c r="E3" s="40">
        <v>16</v>
      </c>
      <c r="F3" s="40"/>
      <c r="G3" s="40"/>
      <c r="H3" s="40"/>
      <c r="I3" s="43">
        <v>45</v>
      </c>
      <c r="J3" s="43"/>
      <c r="K3" s="43"/>
      <c r="L3" s="43"/>
      <c r="M3" s="43"/>
      <c r="N3" s="40"/>
      <c r="O3" s="40">
        <v>29</v>
      </c>
      <c r="P3" s="40"/>
      <c r="Q3" s="40"/>
    </row>
    <row r="4" spans="1:17" ht="29.4">
      <c r="A4">
        <v>2</v>
      </c>
      <c r="B4" s="26" t="str">
        <f>"頭"&amp;A4&amp;C2&amp;C4&amp;"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頭2攻速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6" t="str">
        <f>"頭"&amp;A5&amp;C2&amp;C5&amp;"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頭3攻速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6" t="str">
        <f>"頭"&amp;A6&amp;C2&amp;C6&amp;"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頭4攻速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6" t="str">
        <f>"頭"&amp;A7&amp;C2&amp;C7&amp;"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頭5攻速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6" t="str">
        <f>"頭"&amp;A8&amp;C2&amp;C8&amp;"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頭6攻速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6" t="str">
        <f>"頭"&amp;A9&amp;C2&amp;C9&amp;"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頭7攻速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6" t="str">
        <f>"頭"&amp;A10&amp;C2&amp;C10&amp;"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頭8攻速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6" t="str">
        <f>"頭"&amp;A11&amp;C2&amp;C11&amp;"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頭9攻速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6" t="str">
        <f>"頭"&amp;A12&amp;C2&amp;C12&amp;"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頭10攻速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3" priority="2"/>
  </conditionalFormatting>
  <conditionalFormatting sqref="C3:C12">
    <cfRule type="cellIs" dxfId="2" priority="1" operator="equal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3159-A342-41C8-8516-C1A91FC055E9}">
  <dimension ref="A2:Q12"/>
  <sheetViews>
    <sheetView workbookViewId="0">
      <selection activeCell="D3" sqref="D3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4" t="str">
        <f>"項鍊"&amp;A3&amp;C2&amp;C3&amp;"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項鍊1攻速 致命14 閃避 體力 防禦 減傷 靈長40 BOSS 惡魔 不死 動物 致命傷40 攻擊26 吸血</v>
      </c>
      <c r="C3" s="40"/>
      <c r="D3" s="40">
        <v>14</v>
      </c>
      <c r="E3" s="40"/>
      <c r="F3" s="40"/>
      <c r="G3" s="40"/>
      <c r="H3" s="40"/>
      <c r="I3" s="43">
        <v>40</v>
      </c>
      <c r="J3" s="43"/>
      <c r="K3" s="43"/>
      <c r="L3" s="43"/>
      <c r="M3" s="43"/>
      <c r="N3" s="40">
        <v>40</v>
      </c>
      <c r="O3" s="40">
        <v>26</v>
      </c>
      <c r="P3" s="40"/>
      <c r="Q3" s="40"/>
    </row>
    <row r="4" spans="1:17" ht="29.4">
      <c r="A4">
        <v>2</v>
      </c>
      <c r="B4" s="24" t="str">
        <f>"項鍊"&amp;A4&amp;C2&amp;C4&amp;"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項鍊2攻速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4" t="str">
        <f>"項鍊"&amp;A5&amp;C2&amp;C5&amp;"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項鍊3攻速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4" t="str">
        <f>"項鍊"&amp;A6&amp;C2&amp;C6&amp;"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項鍊4攻速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4" t="str">
        <f>"項鍊"&amp;A7&amp;C2&amp;C7&amp;"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項鍊5攻速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4" t="str">
        <f>"項鍊"&amp;A8&amp;C2&amp;C8&amp;"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項鍊6攻速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4" t="str">
        <f>"項鍊"&amp;A9&amp;C2&amp;C9&amp;"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項鍊7攻速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4" t="str">
        <f>"項鍊"&amp;A10&amp;C2&amp;C10&amp;"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項鍊8攻速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4" t="str">
        <f>"項鍊"&amp;A11&amp;C2&amp;C11&amp;"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項鍊9攻速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4" t="str">
        <f>"項鍊"&amp;A12&amp;C2&amp;C12&amp;"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項鍊10攻速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84A2-355E-42FC-8E7D-1201657E438E}">
  <dimension ref="A2:Q12"/>
  <sheetViews>
    <sheetView workbookViewId="0">
      <selection activeCell="B3" sqref="B3"/>
    </sheetView>
  </sheetViews>
  <sheetFormatPr defaultRowHeight="14.4"/>
  <cols>
    <col min="2" max="2" width="9.109375" customWidth="1"/>
    <col min="3" max="13" width="7.77734375" bestFit="1" customWidth="1"/>
    <col min="14" max="14" width="10.77734375" bestFit="1" customWidth="1"/>
    <col min="15" max="16" width="7.77734375" bestFit="1" customWidth="1"/>
  </cols>
  <sheetData>
    <row r="2" spans="1:17" ht="20.399999999999999">
      <c r="B2" s="1" t="s">
        <v>22</v>
      </c>
      <c r="C2" s="39" t="s">
        <v>6</v>
      </c>
      <c r="D2" s="39" t="s">
        <v>16</v>
      </c>
      <c r="E2" s="39" t="s">
        <v>4</v>
      </c>
      <c r="F2" s="39" t="s">
        <v>13</v>
      </c>
      <c r="G2" s="39" t="s">
        <v>14</v>
      </c>
      <c r="H2" s="39" t="s">
        <v>3</v>
      </c>
      <c r="I2" s="34" t="s">
        <v>17</v>
      </c>
      <c r="J2" s="42" t="s">
        <v>18</v>
      </c>
      <c r="K2" s="42" t="s">
        <v>19</v>
      </c>
      <c r="L2" s="42" t="s">
        <v>20</v>
      </c>
      <c r="M2" s="34" t="s">
        <v>21</v>
      </c>
      <c r="N2" s="39" t="s">
        <v>12</v>
      </c>
      <c r="O2" s="39" t="s">
        <v>15</v>
      </c>
      <c r="P2" s="39" t="s">
        <v>5</v>
      </c>
      <c r="Q2" s="39" t="s">
        <v>94</v>
      </c>
    </row>
    <row r="3" spans="1:17" ht="29.4">
      <c r="A3">
        <v>1</v>
      </c>
      <c r="B3" s="24" t="str">
        <f>"戒指"&amp;A3&amp;C2&amp;C3&amp;" "&amp;D2&amp;D3&amp;" "&amp;E2&amp;E3&amp;" "&amp;F2&amp;F3&amp;" "&amp;G2&amp;G3&amp;" "&amp;H2&amp;H3&amp;" "&amp;I2&amp;I3&amp;" "&amp;J2&amp;J3&amp;" "&amp;K2&amp;K3&amp;" "&amp;L2&amp;L3&amp;" "&amp;M2&amp;M3&amp;" "&amp;N2&amp;N3&amp;" "&amp;O2&amp;O3&amp;" "&amp;P2&amp;P3</f>
        <v>戒指1攻速 致命 閃避 體力 防禦 減傷 靈長40 BOSS 惡魔 不死 動物 致命傷40 攻擊26 吸血10</v>
      </c>
      <c r="C3" s="40"/>
      <c r="D3" s="40"/>
      <c r="E3" s="40"/>
      <c r="F3" s="40"/>
      <c r="G3" s="40"/>
      <c r="H3" s="40"/>
      <c r="I3" s="43">
        <v>40</v>
      </c>
      <c r="J3" s="43"/>
      <c r="K3" s="43"/>
      <c r="L3" s="43"/>
      <c r="M3" s="43"/>
      <c r="N3" s="40">
        <v>40</v>
      </c>
      <c r="O3" s="40">
        <v>26</v>
      </c>
      <c r="P3" s="40">
        <v>10</v>
      </c>
      <c r="Q3" s="40"/>
    </row>
    <row r="4" spans="1:17" ht="29.4">
      <c r="A4">
        <v>2</v>
      </c>
      <c r="B4" s="24" t="str">
        <f>"戒指"&amp;A4&amp;C2&amp;C4&amp;" "&amp;D2&amp;D4&amp;" "&amp;E2&amp;E4&amp;" "&amp;F2&amp;F4&amp;" "&amp;G2&amp;G4&amp;" "&amp;H2&amp;H4&amp;" "&amp;I2&amp;I4&amp;" "&amp;J2&amp;J4&amp;" "&amp;K2&amp;K4&amp;" "&amp;L2&amp;L4&amp;" "&amp;M2&amp;M4&amp;" "&amp;N2&amp;N4&amp;" "&amp;O2&amp;O4&amp;" "&amp;P2&amp;P4</f>
        <v>戒指2攻速 致命 閃避 體力 防禦 減傷 靈長 BOSS 惡魔 不死 動物 致命傷 攻擊 吸血</v>
      </c>
      <c r="C4" s="40"/>
      <c r="D4" s="40"/>
      <c r="E4" s="40"/>
      <c r="F4" s="40"/>
      <c r="G4" s="40"/>
      <c r="H4" s="40"/>
      <c r="I4" s="43"/>
      <c r="J4" s="43"/>
      <c r="K4" s="43"/>
      <c r="L4" s="43"/>
      <c r="M4" s="43"/>
      <c r="N4" s="40"/>
      <c r="O4" s="40"/>
      <c r="P4" s="40"/>
      <c r="Q4" s="40"/>
    </row>
    <row r="5" spans="1:17" ht="29.4">
      <c r="A5">
        <v>3</v>
      </c>
      <c r="B5" s="24" t="str">
        <f>"戒指"&amp;A5&amp;C2&amp;C5&amp;" "&amp;D2&amp;D5&amp;" "&amp;E2&amp;E5&amp;" "&amp;F2&amp;F5&amp;" "&amp;G2&amp;G5&amp;" "&amp;H2&amp;H5&amp;" "&amp;I2&amp;I5&amp;" "&amp;J2&amp;J5&amp;" "&amp;K2&amp;K5&amp;" "&amp;L2&amp;L5&amp;" "&amp;M2&amp;M5&amp;" "&amp;N2&amp;N5&amp;" "&amp;O2&amp;O5&amp;" "&amp;P2&amp;P5</f>
        <v>戒指3攻速 致命 閃避 體力 防禦 減傷 靈長 BOSS 惡魔 不死 動物 致命傷 攻擊 吸血</v>
      </c>
      <c r="C5" s="40"/>
      <c r="D5" s="40"/>
      <c r="E5" s="40"/>
      <c r="F5" s="40"/>
      <c r="G5" s="40"/>
      <c r="H5" s="40"/>
      <c r="I5" s="43"/>
      <c r="J5" s="43"/>
      <c r="K5" s="43"/>
      <c r="L5" s="43"/>
      <c r="M5" s="43"/>
      <c r="N5" s="40"/>
      <c r="O5" s="40"/>
      <c r="P5" s="40"/>
      <c r="Q5" s="40"/>
    </row>
    <row r="6" spans="1:17" ht="29.4">
      <c r="A6">
        <v>4</v>
      </c>
      <c r="B6" s="24" t="str">
        <f>"戒指"&amp;A6&amp;C2&amp;C6&amp;" "&amp;D2&amp;D6&amp;" "&amp;E2&amp;E6&amp;" "&amp;F2&amp;F6&amp;" "&amp;G2&amp;G6&amp;" "&amp;H2&amp;H6&amp;" "&amp;I2&amp;I6&amp;" "&amp;J2&amp;J6&amp;" "&amp;K2&amp;K6&amp;" "&amp;L2&amp;L6&amp;" "&amp;M2&amp;M6&amp;" "&amp;N2&amp;N6&amp;" "&amp;O2&amp;O6&amp;" "&amp;P2&amp;P6</f>
        <v>戒指4攻速 致命 閃避 體力 防禦 減傷 靈長 BOSS 惡魔 不死 動物 致命傷 攻擊 吸血</v>
      </c>
      <c r="C6" s="40"/>
      <c r="D6" s="40"/>
      <c r="E6" s="40"/>
      <c r="F6" s="40"/>
      <c r="G6" s="40"/>
      <c r="H6" s="40"/>
      <c r="I6" s="43"/>
      <c r="J6" s="43"/>
      <c r="K6" s="43"/>
      <c r="L6" s="43"/>
      <c r="M6" s="43"/>
      <c r="N6" s="40"/>
      <c r="O6" s="40"/>
      <c r="P6" s="40"/>
      <c r="Q6" s="40"/>
    </row>
    <row r="7" spans="1:17" ht="29.4">
      <c r="A7">
        <v>5</v>
      </c>
      <c r="B7" s="24" t="str">
        <f>"戒指"&amp;A7&amp;C2&amp;C7&amp;" "&amp;D2&amp;D7&amp;" "&amp;E2&amp;E7&amp;" "&amp;F2&amp;F7&amp;" "&amp;G2&amp;G7&amp;" "&amp;H2&amp;H7&amp;" "&amp;I2&amp;I7&amp;" "&amp;J2&amp;J7&amp;" "&amp;K2&amp;K7&amp;" "&amp;L2&amp;L7&amp;" "&amp;M2&amp;M7&amp;" "&amp;N2&amp;N7&amp;" "&amp;O2&amp;O7&amp;" "&amp;P2&amp;P7</f>
        <v>戒指5攻速 致命 閃避 體力 防禦 減傷 靈長 BOSS 惡魔 不死 動物 致命傷 攻擊 吸血</v>
      </c>
      <c r="C7" s="40"/>
      <c r="D7" s="40"/>
      <c r="E7" s="40"/>
      <c r="F7" s="40"/>
      <c r="G7" s="40"/>
      <c r="H7" s="40"/>
      <c r="I7" s="43"/>
      <c r="J7" s="43"/>
      <c r="K7" s="43"/>
      <c r="L7" s="43"/>
      <c r="M7" s="43"/>
      <c r="N7" s="40"/>
      <c r="O7" s="40"/>
      <c r="P7" s="40"/>
      <c r="Q7" s="40"/>
    </row>
    <row r="8" spans="1:17" ht="29.4">
      <c r="A8">
        <v>6</v>
      </c>
      <c r="B8" s="24" t="str">
        <f>"戒指"&amp;A8&amp;C2&amp;C8&amp;" "&amp;D2&amp;D8&amp;" "&amp;E2&amp;E8&amp;" "&amp;F2&amp;F8&amp;" "&amp;G2&amp;G8&amp;" "&amp;H2&amp;H8&amp;" "&amp;I2&amp;I8&amp;" "&amp;J2&amp;J8&amp;" "&amp;K2&amp;K8&amp;" "&amp;L2&amp;L8&amp;" "&amp;M2&amp;M8&amp;" "&amp;N2&amp;N8&amp;" "&amp;O2&amp;O8&amp;" "&amp;P2&amp;P8</f>
        <v>戒指6攻速 致命 閃避 體力 防禦 減傷 靈長 BOSS 惡魔 不死 動物 致命傷 攻擊 吸血</v>
      </c>
      <c r="C8" s="40"/>
      <c r="D8" s="40"/>
      <c r="E8" s="40"/>
      <c r="F8" s="40"/>
      <c r="G8" s="40"/>
      <c r="H8" s="40"/>
      <c r="I8" s="43"/>
      <c r="J8" s="43"/>
      <c r="K8" s="43"/>
      <c r="L8" s="43"/>
      <c r="M8" s="43"/>
      <c r="N8" s="40"/>
      <c r="O8" s="40"/>
      <c r="P8" s="40"/>
      <c r="Q8" s="40"/>
    </row>
    <row r="9" spans="1:17" ht="29.4">
      <c r="A9">
        <v>7</v>
      </c>
      <c r="B9" s="24" t="str">
        <f>"戒指"&amp;A9&amp;C2&amp;C9&amp;" "&amp;D2&amp;D9&amp;" "&amp;E2&amp;E9&amp;" "&amp;F2&amp;F9&amp;" "&amp;G2&amp;G9&amp;" "&amp;H2&amp;H9&amp;" "&amp;I2&amp;I9&amp;" "&amp;J2&amp;J9&amp;" "&amp;K2&amp;K9&amp;" "&amp;L2&amp;L9&amp;" "&amp;M2&amp;M9&amp;" "&amp;N2&amp;N9&amp;" "&amp;O2&amp;O9&amp;" "&amp;P2&amp;P9</f>
        <v>戒指7攻速 致命 閃避 體力 防禦 減傷 靈長 BOSS 惡魔 不死 動物 致命傷 攻擊 吸血</v>
      </c>
      <c r="C9" s="40"/>
      <c r="D9" s="40"/>
      <c r="E9" s="40"/>
      <c r="F9" s="40"/>
      <c r="G9" s="40"/>
      <c r="H9" s="40"/>
      <c r="I9" s="43"/>
      <c r="J9" s="43"/>
      <c r="K9" s="43"/>
      <c r="L9" s="43"/>
      <c r="M9" s="43"/>
      <c r="N9" s="40"/>
      <c r="O9" s="40"/>
      <c r="P9" s="40"/>
      <c r="Q9" s="40"/>
    </row>
    <row r="10" spans="1:17" ht="29.4">
      <c r="A10">
        <v>8</v>
      </c>
      <c r="B10" s="24" t="str">
        <f>"戒指"&amp;A10&amp;C2&amp;C10&amp;" "&amp;D2&amp;D10&amp;" "&amp;E2&amp;E10&amp;" "&amp;F2&amp;F10&amp;" "&amp;G2&amp;G10&amp;" "&amp;H2&amp;H10&amp;" "&amp;I2&amp;I10&amp;" "&amp;J2&amp;J10&amp;" "&amp;K2&amp;K10&amp;" "&amp;L2&amp;L10&amp;" "&amp;M2&amp;M10&amp;" "&amp;N2&amp;N10&amp;" "&amp;O2&amp;O10&amp;" "&amp;P2&amp;P10</f>
        <v>戒指8攻速 致命 閃避 體力 防禦 減傷 靈長 BOSS 惡魔 不死 動物 致命傷 攻擊 吸血</v>
      </c>
      <c r="C10" s="40"/>
      <c r="D10" s="40"/>
      <c r="E10" s="40"/>
      <c r="F10" s="40"/>
      <c r="G10" s="40"/>
      <c r="H10" s="40"/>
      <c r="I10" s="43"/>
      <c r="J10" s="43"/>
      <c r="K10" s="43"/>
      <c r="L10" s="43"/>
      <c r="M10" s="43"/>
      <c r="N10" s="40"/>
      <c r="O10" s="40"/>
      <c r="P10" s="40"/>
      <c r="Q10" s="40"/>
    </row>
    <row r="11" spans="1:17" ht="29.4">
      <c r="A11">
        <v>9</v>
      </c>
      <c r="B11" s="24" t="str">
        <f>"戒指"&amp;A11&amp;C2&amp;C11&amp;" "&amp;D2&amp;D11&amp;" "&amp;E2&amp;E11&amp;" "&amp;F2&amp;F11&amp;" "&amp;G2&amp;G11&amp;" "&amp;H2&amp;H11&amp;" "&amp;I2&amp;I11&amp;" "&amp;J2&amp;J11&amp;" "&amp;K2&amp;K11&amp;" "&amp;L2&amp;L11&amp;" "&amp;M2&amp;M11&amp;" "&amp;N2&amp;N11&amp;" "&amp;O2&amp;O11&amp;" "&amp;P2&amp;P11</f>
        <v>戒指9攻速 致命 閃避 體力 防禦 減傷 靈長 BOSS 惡魔 不死 動物 致命傷 攻擊 吸血</v>
      </c>
      <c r="C11" s="40"/>
      <c r="D11" s="41"/>
      <c r="E11" s="41"/>
      <c r="F11" s="41"/>
      <c r="G11" s="41"/>
      <c r="H11" s="41"/>
      <c r="I11" s="44"/>
      <c r="J11" s="44"/>
      <c r="K11" s="44"/>
      <c r="L11" s="44"/>
      <c r="M11" s="44"/>
      <c r="N11" s="41"/>
      <c r="O11" s="41"/>
      <c r="P11" s="41"/>
      <c r="Q11" s="41"/>
    </row>
    <row r="12" spans="1:17" ht="29.4">
      <c r="A12">
        <v>10</v>
      </c>
      <c r="B12" s="24" t="str">
        <f>"戒指"&amp;A12&amp;C2&amp;C12&amp;" "&amp;D2&amp;D12&amp;" "&amp;E2&amp;E12&amp;" "&amp;F2&amp;F12&amp;" "&amp;G2&amp;G12&amp;" "&amp;H2&amp;H12&amp;" "&amp;I2&amp;I12&amp;" "&amp;J2&amp;J12&amp;" "&amp;K2&amp;K12&amp;" "&amp;L2&amp;L12&amp;" "&amp;M2&amp;M12&amp;" "&amp;N2&amp;N12&amp;" "&amp;O2&amp;O12&amp;" "&amp;P2&amp;P12</f>
        <v>戒指10攻速 致命 閃避 體力 防禦 減傷 靈長 BOSS 惡魔 不死 動物 致命傷 攻擊 吸血</v>
      </c>
      <c r="C12" s="40"/>
      <c r="D12" s="41"/>
      <c r="E12" s="41"/>
      <c r="F12" s="41"/>
      <c r="G12" s="41"/>
      <c r="H12" s="41"/>
      <c r="I12" s="44"/>
      <c r="J12" s="44"/>
      <c r="K12" s="44"/>
      <c r="L12" s="44"/>
      <c r="M12" s="44"/>
      <c r="N12" s="41"/>
      <c r="O12" s="41"/>
      <c r="P12" s="41"/>
      <c r="Q12" s="41"/>
    </row>
  </sheetData>
  <phoneticPr fontId="1" type="noConversion"/>
  <conditionalFormatting sqref="B3:B1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C6FC-BB05-4927-A365-AFC8F2BF663A}">
  <dimension ref="A1:N998"/>
  <sheetViews>
    <sheetView topLeftCell="A27" workbookViewId="0">
      <selection activeCell="G76" sqref="G76:G79"/>
    </sheetView>
  </sheetViews>
  <sheetFormatPr defaultColWidth="14.44140625" defaultRowHeight="15" customHeight="1"/>
  <cols>
    <col min="1" max="10" width="18.77734375" style="53" customWidth="1"/>
    <col min="11" max="16" width="8.6640625" style="53" customWidth="1"/>
    <col min="17" max="16384" width="14.44140625" style="53"/>
  </cols>
  <sheetData>
    <row r="1" spans="1:10" ht="14.25" customHeight="1">
      <c r="A1" s="103" t="s">
        <v>31</v>
      </c>
      <c r="B1" s="104"/>
      <c r="C1" s="104"/>
      <c r="D1" s="104"/>
      <c r="E1" s="104"/>
      <c r="F1" s="104"/>
      <c r="G1" s="104"/>
      <c r="H1" s="104"/>
      <c r="I1" s="104"/>
    </row>
    <row r="2" spans="1:10" ht="14.25" customHeight="1">
      <c r="A2" s="101"/>
      <c r="B2" s="105"/>
      <c r="C2" s="105"/>
      <c r="D2" s="105"/>
      <c r="E2" s="105"/>
      <c r="F2" s="105"/>
      <c r="G2" s="105"/>
      <c r="H2" s="105"/>
      <c r="I2" s="105"/>
    </row>
    <row r="3" spans="1:10" ht="14.25" customHeight="1">
      <c r="A3" s="101"/>
      <c r="B3" s="105"/>
      <c r="C3" s="105"/>
      <c r="D3" s="105"/>
      <c r="E3" s="105"/>
      <c r="F3" s="105"/>
      <c r="G3" s="105"/>
      <c r="H3" s="105"/>
      <c r="I3" s="105"/>
    </row>
    <row r="4" spans="1:10" ht="14.25" customHeight="1">
      <c r="A4" s="102"/>
      <c r="B4" s="106"/>
      <c r="C4" s="106"/>
      <c r="D4" s="106"/>
      <c r="E4" s="106"/>
      <c r="F4" s="106"/>
      <c r="G4" s="106"/>
      <c r="H4" s="106"/>
      <c r="I4" s="106"/>
    </row>
    <row r="5" spans="1:10" ht="14.25" customHeight="1">
      <c r="A5" s="100" t="s">
        <v>32</v>
      </c>
      <c r="B5" s="100" t="s">
        <v>33</v>
      </c>
      <c r="C5" s="100" t="s">
        <v>34</v>
      </c>
      <c r="D5" s="100" t="s">
        <v>35</v>
      </c>
      <c r="E5" s="100" t="s">
        <v>36</v>
      </c>
      <c r="F5" s="100" t="s">
        <v>37</v>
      </c>
      <c r="G5" s="100" t="s">
        <v>38</v>
      </c>
      <c r="H5" s="100" t="s">
        <v>39</v>
      </c>
      <c r="I5" s="100" t="s">
        <v>40</v>
      </c>
      <c r="J5" s="100" t="s">
        <v>41</v>
      </c>
    </row>
    <row r="6" spans="1:10" ht="14.2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</row>
    <row r="7" spans="1:10" ht="14.25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</row>
    <row r="8" spans="1:10" ht="14.25" customHeight="1">
      <c r="A8" s="107" t="s">
        <v>42</v>
      </c>
      <c r="B8" s="108">
        <v>0.3</v>
      </c>
      <c r="C8" s="109" t="s">
        <v>43</v>
      </c>
      <c r="D8" s="109"/>
      <c r="E8" s="109">
        <v>0.1</v>
      </c>
      <c r="F8" s="109">
        <v>0.05</v>
      </c>
      <c r="G8" s="109">
        <v>0.01</v>
      </c>
      <c r="H8" s="100">
        <v>1</v>
      </c>
      <c r="I8" s="107" t="s">
        <v>44</v>
      </c>
      <c r="J8" s="110">
        <v>0.06</v>
      </c>
    </row>
    <row r="9" spans="1:10" ht="14.25" customHeight="1">
      <c r="A9" s="101"/>
      <c r="B9" s="101"/>
      <c r="C9" s="101"/>
      <c r="D9" s="101"/>
      <c r="E9" s="101"/>
      <c r="F9" s="101"/>
      <c r="G9" s="101"/>
      <c r="H9" s="101"/>
      <c r="I9" s="101"/>
      <c r="J9" s="111"/>
    </row>
    <row r="10" spans="1:10" ht="14.25" customHeight="1">
      <c r="A10" s="101"/>
      <c r="B10" s="101"/>
      <c r="C10" s="101"/>
      <c r="D10" s="101"/>
      <c r="E10" s="101"/>
      <c r="F10" s="101"/>
      <c r="G10" s="101"/>
      <c r="H10" s="101"/>
      <c r="I10" s="101"/>
      <c r="J10" s="111"/>
    </row>
    <row r="11" spans="1:10" ht="14.25" customHeight="1">
      <c r="A11" s="102"/>
      <c r="B11" s="102"/>
      <c r="C11" s="102"/>
      <c r="D11" s="102"/>
      <c r="E11" s="102"/>
      <c r="F11" s="102"/>
      <c r="G11" s="102"/>
      <c r="H11" s="102"/>
      <c r="I11" s="102"/>
      <c r="J11" s="112"/>
    </row>
    <row r="12" spans="1:10" ht="14.25" customHeight="1">
      <c r="A12" s="107" t="s">
        <v>45</v>
      </c>
      <c r="B12" s="115">
        <v>0.2</v>
      </c>
      <c r="C12" s="109" t="s">
        <v>46</v>
      </c>
      <c r="D12" s="114"/>
      <c r="E12" s="109">
        <v>0.1</v>
      </c>
      <c r="F12" s="109"/>
      <c r="G12" s="109">
        <v>0.02</v>
      </c>
      <c r="H12" s="100">
        <v>4</v>
      </c>
      <c r="I12" s="107" t="s">
        <v>47</v>
      </c>
      <c r="J12" s="110">
        <v>0.09</v>
      </c>
    </row>
    <row r="13" spans="1:10" ht="14.25" customHeight="1">
      <c r="A13" s="101"/>
      <c r="B13" s="101"/>
      <c r="C13" s="101"/>
      <c r="D13" s="101"/>
      <c r="E13" s="101"/>
      <c r="F13" s="101"/>
      <c r="G13" s="101"/>
      <c r="H13" s="101"/>
      <c r="I13" s="101"/>
      <c r="J13" s="111"/>
    </row>
    <row r="14" spans="1:10" ht="14.25" customHeight="1">
      <c r="A14" s="101"/>
      <c r="B14" s="101"/>
      <c r="C14" s="101"/>
      <c r="D14" s="101"/>
      <c r="E14" s="101"/>
      <c r="F14" s="101"/>
      <c r="G14" s="101"/>
      <c r="H14" s="101"/>
      <c r="I14" s="101"/>
      <c r="J14" s="111"/>
    </row>
    <row r="15" spans="1:10" ht="14.25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12"/>
    </row>
    <row r="16" spans="1:10" ht="14.25" customHeight="1">
      <c r="A16" s="107" t="s">
        <v>48</v>
      </c>
      <c r="B16" s="113">
        <v>0.1</v>
      </c>
      <c r="C16" s="109" t="s">
        <v>49</v>
      </c>
      <c r="D16" s="114"/>
      <c r="E16" s="109">
        <v>0.1</v>
      </c>
      <c r="F16" s="109"/>
      <c r="G16" s="109">
        <v>0.03</v>
      </c>
      <c r="H16" s="100"/>
      <c r="I16" s="107" t="s">
        <v>50</v>
      </c>
      <c r="J16" s="110">
        <v>0.12</v>
      </c>
    </row>
    <row r="17" spans="1:10" ht="14.25" customHeight="1">
      <c r="A17" s="101"/>
      <c r="B17" s="101"/>
      <c r="C17" s="101"/>
      <c r="D17" s="101"/>
      <c r="E17" s="101"/>
      <c r="F17" s="101"/>
      <c r="G17" s="101"/>
      <c r="H17" s="101"/>
      <c r="I17" s="101"/>
      <c r="J17" s="111"/>
    </row>
    <row r="18" spans="1:10" ht="14.25" customHeight="1">
      <c r="A18" s="101"/>
      <c r="B18" s="101"/>
      <c r="C18" s="101"/>
      <c r="D18" s="101"/>
      <c r="E18" s="101"/>
      <c r="F18" s="101"/>
      <c r="G18" s="101"/>
      <c r="H18" s="101"/>
      <c r="I18" s="101"/>
      <c r="J18" s="111"/>
    </row>
    <row r="19" spans="1:10" ht="14.2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12"/>
    </row>
    <row r="20" spans="1:10" ht="14.25" customHeight="1">
      <c r="A20" s="107" t="s">
        <v>51</v>
      </c>
      <c r="B20" s="116">
        <v>0</v>
      </c>
      <c r="C20" s="109" t="s">
        <v>52</v>
      </c>
      <c r="D20" s="114"/>
      <c r="E20" s="109">
        <v>0.1</v>
      </c>
      <c r="F20" s="109"/>
      <c r="G20" s="109">
        <v>0.04</v>
      </c>
      <c r="H20" s="100"/>
      <c r="I20" s="107" t="s">
        <v>53</v>
      </c>
      <c r="J20" s="100"/>
    </row>
    <row r="21" spans="1:10" ht="14.25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1"/>
    </row>
    <row r="22" spans="1:10" ht="14.2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</row>
    <row r="23" spans="1:10" ht="14.2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</row>
    <row r="24" spans="1:10" ht="14.25" customHeight="1">
      <c r="A24" s="107"/>
      <c r="B24" s="109"/>
      <c r="C24" s="109"/>
      <c r="D24" s="114"/>
      <c r="E24" s="109">
        <v>0.1</v>
      </c>
      <c r="F24" s="109"/>
      <c r="G24" s="109">
        <v>0.05</v>
      </c>
      <c r="H24" s="100"/>
      <c r="I24" s="107" t="s">
        <v>54</v>
      </c>
      <c r="J24" s="100"/>
    </row>
    <row r="25" spans="1:10" ht="14.2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1"/>
    </row>
    <row r="26" spans="1:10" ht="14.2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</row>
    <row r="27" spans="1:10" ht="14.2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</row>
    <row r="28" spans="1:10" ht="14.25" customHeight="1">
      <c r="A28" s="107"/>
      <c r="B28" s="109"/>
      <c r="C28" s="109"/>
      <c r="D28" s="114"/>
      <c r="E28" s="109">
        <v>0.1</v>
      </c>
      <c r="F28" s="109"/>
      <c r="G28" s="109">
        <v>0.06</v>
      </c>
      <c r="H28" s="100"/>
      <c r="I28" s="107" t="s">
        <v>55</v>
      </c>
      <c r="J28" s="100"/>
    </row>
    <row r="29" spans="1:10" ht="14.2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1"/>
    </row>
    <row r="30" spans="1:10" ht="14.2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1"/>
    </row>
    <row r="31" spans="1:10" ht="14.2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</row>
    <row r="32" spans="1:10" ht="14.25" customHeight="1">
      <c r="A32" s="54"/>
      <c r="B32" s="100" t="s">
        <v>33</v>
      </c>
      <c r="C32" s="100" t="s">
        <v>34</v>
      </c>
      <c r="D32" s="100" t="s">
        <v>35</v>
      </c>
      <c r="E32" s="100" t="s">
        <v>36</v>
      </c>
      <c r="F32" s="100" t="s">
        <v>37</v>
      </c>
      <c r="G32" s="100" t="s">
        <v>38</v>
      </c>
      <c r="H32" s="100" t="s">
        <v>41</v>
      </c>
      <c r="I32" s="79"/>
      <c r="J32" s="79"/>
    </row>
    <row r="33" spans="1:14" ht="14.25" customHeight="1">
      <c r="A33" s="78"/>
      <c r="B33" s="101"/>
      <c r="C33" s="101"/>
      <c r="D33" s="101"/>
      <c r="E33" s="101"/>
      <c r="F33" s="101"/>
      <c r="G33" s="101"/>
      <c r="H33" s="101"/>
      <c r="I33" s="75"/>
      <c r="J33" s="75"/>
    </row>
    <row r="34" spans="1:14" ht="14.25" customHeight="1">
      <c r="A34" s="77"/>
      <c r="B34" s="102"/>
      <c r="C34" s="102"/>
      <c r="D34" s="102"/>
      <c r="E34" s="102"/>
      <c r="F34" s="102"/>
      <c r="G34" s="102"/>
      <c r="H34" s="102"/>
      <c r="I34" s="76"/>
      <c r="J34" s="76"/>
    </row>
    <row r="35" spans="1:14" ht="49.95" customHeight="1">
      <c r="A35" s="81" t="s">
        <v>56</v>
      </c>
      <c r="B35" s="82">
        <v>0.3</v>
      </c>
      <c r="C35" s="82">
        <v>0</v>
      </c>
      <c r="D35" s="83">
        <v>0.32</v>
      </c>
      <c r="E35" s="84">
        <v>0.1</v>
      </c>
      <c r="F35" s="84">
        <v>0.05</v>
      </c>
      <c r="G35" s="82">
        <v>0.06</v>
      </c>
      <c r="H35" s="85">
        <v>0.06</v>
      </c>
      <c r="K35" s="56"/>
      <c r="N35" s="56">
        <v>2.5</v>
      </c>
    </row>
    <row r="36" spans="1:14" ht="14.25" customHeight="1">
      <c r="A36" s="107" t="s">
        <v>42</v>
      </c>
      <c r="B36" s="107" t="s">
        <v>45</v>
      </c>
      <c r="C36" s="107" t="s">
        <v>48</v>
      </c>
      <c r="D36" s="107" t="s">
        <v>51</v>
      </c>
      <c r="E36" s="117" t="s">
        <v>57</v>
      </c>
      <c r="F36" s="104"/>
      <c r="G36" s="104"/>
      <c r="K36" s="57"/>
      <c r="L36" s="57"/>
      <c r="M36" s="57"/>
      <c r="N36" s="57">
        <v>0.33</v>
      </c>
    </row>
    <row r="37" spans="1:14" ht="14.25" customHeight="1">
      <c r="A37" s="101"/>
      <c r="B37" s="101"/>
      <c r="C37" s="101"/>
      <c r="D37" s="101"/>
      <c r="E37" s="101"/>
      <c r="F37" s="105"/>
      <c r="G37" s="105"/>
      <c r="N37" s="53">
        <v>6</v>
      </c>
    </row>
    <row r="38" spans="1:14" ht="14.25" customHeight="1">
      <c r="A38" s="101"/>
      <c r="B38" s="101"/>
      <c r="C38" s="101"/>
      <c r="D38" s="101"/>
      <c r="E38" s="101"/>
      <c r="F38" s="105"/>
      <c r="G38" s="105"/>
      <c r="N38" s="53">
        <v>16</v>
      </c>
    </row>
    <row r="39" spans="1:14" ht="13.2" customHeight="1">
      <c r="A39" s="102"/>
      <c r="B39" s="102"/>
      <c r="C39" s="102"/>
      <c r="D39" s="102"/>
      <c r="E39" s="101"/>
      <c r="F39" s="105"/>
      <c r="G39" s="105"/>
      <c r="N39" s="53">
        <v>11</v>
      </c>
    </row>
    <row r="40" spans="1:14" ht="14.25" customHeight="1">
      <c r="A40" s="118">
        <f>2-(2*(B35+C35+D35+E35+F35+G35+H35))</f>
        <v>0.21999999999999975</v>
      </c>
      <c r="B40" s="118">
        <f>2.2-(2.2*(B35+C35+D35+E35+F35+G35+H35))</f>
        <v>0.24199999999999977</v>
      </c>
      <c r="C40" s="118">
        <f>2.3-(2.3*(B35+C35+D35+E35+F35+G35+H35))</f>
        <v>0.25299999999999967</v>
      </c>
      <c r="D40" s="118">
        <f>2.5-(2.5*(B35+C35+D35+E35+F35+G35+H35))</f>
        <v>0.27499999999999947</v>
      </c>
      <c r="E40" s="101"/>
      <c r="F40" s="105"/>
      <c r="G40" s="105"/>
    </row>
    <row r="41" spans="1:14" ht="13.2" customHeight="1">
      <c r="A41" s="101"/>
      <c r="B41" s="101"/>
      <c r="C41" s="101"/>
      <c r="D41" s="101"/>
      <c r="E41" s="101"/>
      <c r="F41" s="105"/>
      <c r="G41" s="105"/>
    </row>
    <row r="42" spans="1:14" ht="14.25" customHeight="1">
      <c r="A42" s="101"/>
      <c r="B42" s="101"/>
      <c r="C42" s="101"/>
      <c r="D42" s="101"/>
      <c r="E42" s="101"/>
      <c r="F42" s="105"/>
      <c r="G42" s="105"/>
    </row>
    <row r="43" spans="1:14" ht="14.25" customHeight="1">
      <c r="A43" s="102"/>
      <c r="B43" s="102"/>
      <c r="C43" s="102"/>
      <c r="D43" s="102"/>
      <c r="E43" s="102"/>
      <c r="F43" s="106"/>
      <c r="G43" s="106"/>
    </row>
    <row r="44" spans="1:14" ht="14.25" customHeight="1">
      <c r="A44" s="100" t="s">
        <v>58</v>
      </c>
      <c r="B44" s="107" t="s">
        <v>44</v>
      </c>
      <c r="C44" s="107" t="s">
        <v>47</v>
      </c>
      <c r="D44" s="107" t="s">
        <v>50</v>
      </c>
      <c r="E44" s="107" t="s">
        <v>53</v>
      </c>
      <c r="F44" s="107" t="s">
        <v>54</v>
      </c>
      <c r="G44" s="107" t="s">
        <v>55</v>
      </c>
    </row>
    <row r="45" spans="1:14" ht="14.25" customHeight="1">
      <c r="A45" s="101"/>
      <c r="B45" s="101"/>
      <c r="C45" s="101"/>
      <c r="D45" s="101"/>
      <c r="E45" s="101"/>
      <c r="F45" s="101"/>
      <c r="G45" s="101"/>
    </row>
    <row r="46" spans="1:14" ht="14.25" customHeight="1">
      <c r="A46" s="101"/>
      <c r="B46" s="101"/>
      <c r="C46" s="101"/>
      <c r="D46" s="101"/>
      <c r="E46" s="101"/>
      <c r="F46" s="101"/>
      <c r="G46" s="101"/>
    </row>
    <row r="47" spans="1:14" ht="14.25" customHeight="1">
      <c r="A47" s="102"/>
      <c r="B47" s="102"/>
      <c r="C47" s="102"/>
      <c r="D47" s="102"/>
      <c r="E47" s="102"/>
      <c r="F47" s="102"/>
      <c r="G47" s="102"/>
    </row>
    <row r="48" spans="1:14" ht="14.25" customHeight="1">
      <c r="A48" s="119"/>
      <c r="B48" s="120">
        <f>H12+I8-1</f>
        <v>4</v>
      </c>
      <c r="C48" s="120">
        <f>H12+I12-1</f>
        <v>4.0999999999999996</v>
      </c>
      <c r="D48" s="120">
        <f>H12+I16-1</f>
        <v>4.2</v>
      </c>
      <c r="E48" s="120">
        <f>H12+I20-1</f>
        <v>4.3</v>
      </c>
      <c r="F48" s="120">
        <f>H12+I24-1</f>
        <v>4.4000000000000004</v>
      </c>
      <c r="G48" s="120">
        <f>H12+I28-1</f>
        <v>4.5</v>
      </c>
    </row>
    <row r="49" spans="1:9" ht="14.25" customHeight="1">
      <c r="A49" s="105"/>
      <c r="B49" s="101"/>
      <c r="C49" s="101"/>
      <c r="D49" s="101"/>
      <c r="E49" s="101"/>
      <c r="F49" s="101"/>
      <c r="G49" s="101"/>
    </row>
    <row r="50" spans="1:9" ht="14.25" customHeight="1">
      <c r="A50" s="105"/>
      <c r="B50" s="101"/>
      <c r="C50" s="101"/>
      <c r="D50" s="101"/>
      <c r="E50" s="101"/>
      <c r="F50" s="101"/>
      <c r="G50" s="101"/>
    </row>
    <row r="51" spans="1:9" ht="14.25" customHeight="1">
      <c r="A51" s="106"/>
      <c r="B51" s="102"/>
      <c r="C51" s="102"/>
      <c r="D51" s="102"/>
      <c r="E51" s="102"/>
      <c r="F51" s="102"/>
      <c r="G51" s="102"/>
    </row>
    <row r="52" spans="1:9" ht="14.25" customHeight="1">
      <c r="A52" s="100" t="s">
        <v>59</v>
      </c>
      <c r="B52" s="107" t="s">
        <v>44</v>
      </c>
      <c r="C52" s="107" t="s">
        <v>47</v>
      </c>
      <c r="D52" s="107" t="s">
        <v>50</v>
      </c>
      <c r="E52" s="107" t="s">
        <v>53</v>
      </c>
      <c r="F52" s="107" t="s">
        <v>54</v>
      </c>
      <c r="G52" s="107" t="s">
        <v>55</v>
      </c>
    </row>
    <row r="53" spans="1:9" ht="14.25" customHeight="1">
      <c r="A53" s="101"/>
      <c r="B53" s="101"/>
      <c r="C53" s="101"/>
      <c r="D53" s="101"/>
      <c r="E53" s="101"/>
      <c r="F53" s="101"/>
      <c r="G53" s="101"/>
    </row>
    <row r="54" spans="1:9" ht="14.25" customHeight="1">
      <c r="A54" s="101"/>
      <c r="B54" s="101"/>
      <c r="C54" s="101"/>
      <c r="D54" s="101"/>
      <c r="E54" s="101"/>
      <c r="F54" s="101"/>
      <c r="G54" s="101"/>
    </row>
    <row r="55" spans="1:9" ht="14.25" customHeight="1">
      <c r="A55" s="102"/>
      <c r="B55" s="102"/>
      <c r="C55" s="102"/>
      <c r="D55" s="102"/>
      <c r="E55" s="102"/>
      <c r="F55" s="102"/>
      <c r="G55" s="102"/>
    </row>
    <row r="56" spans="1:9" ht="14.25" customHeight="1">
      <c r="A56" s="119"/>
      <c r="B56" s="120">
        <f>H8+I8-1</f>
        <v>1</v>
      </c>
      <c r="C56" s="120">
        <f>H8+I12-1</f>
        <v>1.1000000000000001</v>
      </c>
      <c r="D56" s="120">
        <f>H8+I16-1</f>
        <v>1.2000000000000002</v>
      </c>
      <c r="E56" s="120">
        <f>H8+I20-1</f>
        <v>1.2999999999999998</v>
      </c>
      <c r="F56" s="120">
        <f>H8+I24-1</f>
        <v>1.4</v>
      </c>
      <c r="G56" s="120">
        <f>H8+I28-1</f>
        <v>1.5</v>
      </c>
    </row>
    <row r="57" spans="1:9" ht="14.25" customHeight="1">
      <c r="A57" s="105"/>
      <c r="B57" s="101"/>
      <c r="C57" s="101"/>
      <c r="D57" s="101"/>
      <c r="E57" s="101"/>
      <c r="F57" s="101"/>
      <c r="G57" s="101"/>
    </row>
    <row r="58" spans="1:9" ht="14.25" customHeight="1">
      <c r="A58" s="105"/>
      <c r="B58" s="101"/>
      <c r="C58" s="101"/>
      <c r="D58" s="101"/>
      <c r="E58" s="101"/>
      <c r="F58" s="101"/>
      <c r="G58" s="101"/>
    </row>
    <row r="59" spans="1:9" ht="14.25" customHeight="1">
      <c r="A59" s="106"/>
      <c r="B59" s="102"/>
      <c r="C59" s="102"/>
      <c r="D59" s="102"/>
      <c r="E59" s="102"/>
      <c r="F59" s="102"/>
      <c r="G59" s="102"/>
    </row>
    <row r="60" spans="1:9" ht="14.25" customHeight="1">
      <c r="A60" s="100" t="s">
        <v>60</v>
      </c>
      <c r="B60" s="107"/>
      <c r="C60" s="107" t="s">
        <v>44</v>
      </c>
      <c r="D60" s="107" t="s">
        <v>47</v>
      </c>
      <c r="E60" s="107" t="s">
        <v>50</v>
      </c>
      <c r="F60" s="107" t="s">
        <v>53</v>
      </c>
      <c r="G60" s="107" t="s">
        <v>54</v>
      </c>
      <c r="H60" s="107" t="s">
        <v>55</v>
      </c>
      <c r="I60" s="121"/>
    </row>
    <row r="61" spans="1:9" ht="14.25" customHeight="1">
      <c r="A61" s="101"/>
      <c r="B61" s="101"/>
      <c r="C61" s="101"/>
      <c r="D61" s="101"/>
      <c r="E61" s="101"/>
      <c r="F61" s="101"/>
      <c r="G61" s="101"/>
      <c r="H61" s="101"/>
      <c r="I61" s="101"/>
    </row>
    <row r="62" spans="1:9" ht="14.25" customHeight="1">
      <c r="A62" s="101"/>
      <c r="B62" s="101"/>
      <c r="C62" s="101"/>
      <c r="D62" s="101"/>
      <c r="E62" s="101"/>
      <c r="F62" s="101"/>
      <c r="G62" s="101"/>
      <c r="H62" s="101"/>
      <c r="I62" s="101"/>
    </row>
    <row r="63" spans="1:9" ht="14.25" customHeight="1">
      <c r="A63" s="102"/>
      <c r="B63" s="102"/>
      <c r="C63" s="102"/>
      <c r="D63" s="102"/>
      <c r="E63" s="102"/>
      <c r="F63" s="102"/>
      <c r="G63" s="102"/>
      <c r="H63" s="102"/>
      <c r="I63" s="101"/>
    </row>
    <row r="64" spans="1:9" ht="14.25" customHeight="1">
      <c r="A64" s="100" t="s">
        <v>58</v>
      </c>
      <c r="B64" s="107" t="s">
        <v>42</v>
      </c>
      <c r="C64" s="120">
        <f>A40/B48</f>
        <v>5.4999999999999938E-2</v>
      </c>
      <c r="D64" s="120">
        <f>A40/C48</f>
        <v>5.3658536585365797E-2</v>
      </c>
      <c r="E64" s="120">
        <f>A40/D48</f>
        <v>5.238095238095232E-2</v>
      </c>
      <c r="F64" s="120">
        <f>A40/E48</f>
        <v>5.1162790697674362E-2</v>
      </c>
      <c r="G64" s="120">
        <f>A40/F48</f>
        <v>4.999999999999994E-2</v>
      </c>
      <c r="H64" s="120">
        <f>A40/G48</f>
        <v>4.8888888888888836E-2</v>
      </c>
      <c r="I64" s="101"/>
    </row>
    <row r="65" spans="1:9" ht="14.25" customHeight="1">
      <c r="A65" s="101"/>
      <c r="B65" s="101"/>
      <c r="C65" s="101"/>
      <c r="D65" s="101"/>
      <c r="E65" s="101"/>
      <c r="F65" s="101"/>
      <c r="G65" s="101"/>
      <c r="H65" s="101"/>
      <c r="I65" s="101"/>
    </row>
    <row r="66" spans="1:9" ht="14.25" customHeight="1">
      <c r="A66" s="101"/>
      <c r="B66" s="101"/>
      <c r="C66" s="101"/>
      <c r="D66" s="101"/>
      <c r="E66" s="101"/>
      <c r="F66" s="101"/>
      <c r="G66" s="101"/>
      <c r="H66" s="101"/>
      <c r="I66" s="101"/>
    </row>
    <row r="67" spans="1:9" ht="14.25" customHeight="1">
      <c r="A67" s="102"/>
      <c r="B67" s="102"/>
      <c r="C67" s="102"/>
      <c r="D67" s="102"/>
      <c r="E67" s="102"/>
      <c r="F67" s="102"/>
      <c r="G67" s="102"/>
      <c r="H67" s="102"/>
      <c r="I67" s="101"/>
    </row>
    <row r="68" spans="1:9" ht="14.25" customHeight="1">
      <c r="A68" s="122"/>
      <c r="B68" s="100">
        <v>2.2000000000000002</v>
      </c>
      <c r="C68" s="120">
        <f>B40/B48</f>
        <v>6.0499999999999943E-2</v>
      </c>
      <c r="D68" s="120">
        <f>B40/C48</f>
        <v>5.9024390243902387E-2</v>
      </c>
      <c r="E68" s="120">
        <f>B40/D48</f>
        <v>5.7619047619047563E-2</v>
      </c>
      <c r="F68" s="120">
        <f>B40/E48</f>
        <v>5.6279069767441812E-2</v>
      </c>
      <c r="G68" s="120">
        <f>B40/F48</f>
        <v>5.4999999999999945E-2</v>
      </c>
      <c r="H68" s="120">
        <f>B40/G48</f>
        <v>5.377777777777773E-2</v>
      </c>
      <c r="I68" s="101"/>
    </row>
    <row r="69" spans="1:9" ht="14.25" customHeight="1">
      <c r="A69" s="105"/>
      <c r="B69" s="101"/>
      <c r="C69" s="101"/>
      <c r="D69" s="101"/>
      <c r="E69" s="101"/>
      <c r="F69" s="101"/>
      <c r="G69" s="101"/>
      <c r="H69" s="101"/>
      <c r="I69" s="101"/>
    </row>
    <row r="70" spans="1:9" ht="14.25" customHeight="1">
      <c r="A70" s="105"/>
      <c r="B70" s="101"/>
      <c r="C70" s="101"/>
      <c r="D70" s="101"/>
      <c r="E70" s="101"/>
      <c r="F70" s="101"/>
      <c r="G70" s="101"/>
      <c r="H70" s="101"/>
      <c r="I70" s="101"/>
    </row>
    <row r="71" spans="1:9" ht="14.25" customHeight="1">
      <c r="A71" s="105"/>
      <c r="B71" s="102"/>
      <c r="C71" s="102"/>
      <c r="D71" s="102"/>
      <c r="E71" s="102"/>
      <c r="F71" s="102"/>
      <c r="G71" s="102"/>
      <c r="H71" s="102"/>
      <c r="I71" s="101"/>
    </row>
    <row r="72" spans="1:9" ht="14.25" customHeight="1">
      <c r="A72" s="105"/>
      <c r="B72" s="100">
        <v>2.2999999999999998</v>
      </c>
      <c r="C72" s="120">
        <f>C40/B48</f>
        <v>6.3249999999999917E-2</v>
      </c>
      <c r="D72" s="120">
        <f>C40/C48</f>
        <v>6.1707317073170655E-2</v>
      </c>
      <c r="E72" s="120">
        <f>C40/D48</f>
        <v>6.023809523809516E-2</v>
      </c>
      <c r="F72" s="120">
        <f>C40/E48</f>
        <v>5.8837209302325506E-2</v>
      </c>
      <c r="G72" s="120">
        <f>C40/F48</f>
        <v>5.7499999999999919E-2</v>
      </c>
      <c r="H72" s="120">
        <f>C40/G48</f>
        <v>5.6222222222222146E-2</v>
      </c>
      <c r="I72" s="101"/>
    </row>
    <row r="73" spans="1:9" ht="14.25" customHeight="1">
      <c r="A73" s="105"/>
      <c r="B73" s="101"/>
      <c r="C73" s="101"/>
      <c r="D73" s="101"/>
      <c r="E73" s="101"/>
      <c r="F73" s="101"/>
      <c r="G73" s="101"/>
      <c r="H73" s="101"/>
      <c r="I73" s="101"/>
    </row>
    <row r="74" spans="1:9" ht="14.25" customHeight="1">
      <c r="A74" s="105"/>
      <c r="B74" s="101"/>
      <c r="C74" s="101"/>
      <c r="D74" s="101"/>
      <c r="E74" s="101"/>
      <c r="F74" s="101"/>
      <c r="G74" s="101"/>
      <c r="H74" s="101"/>
      <c r="I74" s="101"/>
    </row>
    <row r="75" spans="1:9" ht="14.25" customHeight="1">
      <c r="A75" s="105"/>
      <c r="B75" s="102"/>
      <c r="C75" s="102"/>
      <c r="D75" s="102"/>
      <c r="E75" s="102"/>
      <c r="F75" s="102"/>
      <c r="G75" s="102"/>
      <c r="H75" s="102"/>
      <c r="I75" s="101"/>
    </row>
    <row r="76" spans="1:9" ht="14.25" customHeight="1">
      <c r="A76" s="105"/>
      <c r="B76" s="100">
        <v>2.5</v>
      </c>
      <c r="C76" s="120">
        <f>D40/B48</f>
        <v>6.8749999999999867E-2</v>
      </c>
      <c r="D76" s="120">
        <f>D40/C48</f>
        <v>6.7073170731707196E-2</v>
      </c>
      <c r="E76" s="120">
        <f>D40/D48</f>
        <v>6.5476190476190341E-2</v>
      </c>
      <c r="F76" s="120">
        <f>D40/E48</f>
        <v>6.3953488372092901E-2</v>
      </c>
      <c r="G76" s="120">
        <f>D40/F48</f>
        <v>6.2499999999999875E-2</v>
      </c>
      <c r="H76" s="120">
        <f>D40/G48</f>
        <v>6.1111111111110991E-2</v>
      </c>
      <c r="I76" s="101"/>
    </row>
    <row r="77" spans="1:9" ht="14.25" customHeight="1">
      <c r="A77" s="105"/>
      <c r="B77" s="101"/>
      <c r="C77" s="101"/>
      <c r="D77" s="101"/>
      <c r="E77" s="101"/>
      <c r="F77" s="101"/>
      <c r="G77" s="101"/>
      <c r="H77" s="101"/>
      <c r="I77" s="101"/>
    </row>
    <row r="78" spans="1:9" ht="14.25" customHeight="1">
      <c r="A78" s="105"/>
      <c r="B78" s="101"/>
      <c r="C78" s="101"/>
      <c r="D78" s="101"/>
      <c r="E78" s="101"/>
      <c r="F78" s="101"/>
      <c r="G78" s="101"/>
      <c r="H78" s="101"/>
      <c r="I78" s="101"/>
    </row>
    <row r="79" spans="1:9" ht="14.25" customHeight="1">
      <c r="A79" s="106"/>
      <c r="B79" s="102"/>
      <c r="C79" s="102"/>
      <c r="D79" s="102"/>
      <c r="E79" s="102"/>
      <c r="F79" s="102"/>
      <c r="G79" s="102"/>
      <c r="H79" s="102"/>
      <c r="I79" s="101"/>
    </row>
    <row r="80" spans="1:9" ht="14.25" customHeight="1">
      <c r="A80" s="100" t="s">
        <v>59</v>
      </c>
      <c r="B80" s="107"/>
      <c r="C80" s="107" t="s">
        <v>61</v>
      </c>
      <c r="D80" s="107" t="s">
        <v>62</v>
      </c>
      <c r="E80" s="107" t="s">
        <v>63</v>
      </c>
      <c r="F80" s="107" t="s">
        <v>64</v>
      </c>
      <c r="G80" s="107" t="s">
        <v>65</v>
      </c>
      <c r="H80" s="107" t="s">
        <v>66</v>
      </c>
      <c r="I80" s="101"/>
    </row>
    <row r="81" spans="1:9" ht="14.25" customHeight="1">
      <c r="A81" s="101"/>
      <c r="B81" s="101"/>
      <c r="C81" s="101"/>
      <c r="D81" s="101"/>
      <c r="E81" s="101"/>
      <c r="F81" s="101"/>
      <c r="G81" s="101"/>
      <c r="H81" s="101"/>
      <c r="I81" s="101"/>
    </row>
    <row r="82" spans="1:9" ht="14.25" customHeight="1">
      <c r="A82" s="101"/>
      <c r="B82" s="101"/>
      <c r="C82" s="101"/>
      <c r="D82" s="101"/>
      <c r="E82" s="101"/>
      <c r="F82" s="101"/>
      <c r="G82" s="101"/>
      <c r="H82" s="101"/>
      <c r="I82" s="101"/>
    </row>
    <row r="83" spans="1:9" ht="14.25" customHeight="1">
      <c r="A83" s="102"/>
      <c r="B83" s="102"/>
      <c r="C83" s="102"/>
      <c r="D83" s="102"/>
      <c r="E83" s="102"/>
      <c r="F83" s="102"/>
      <c r="G83" s="102"/>
      <c r="H83" s="102"/>
      <c r="I83" s="101"/>
    </row>
    <row r="84" spans="1:9" ht="14.25" customHeight="1">
      <c r="A84" s="119"/>
      <c r="B84" s="107" t="s">
        <v>42</v>
      </c>
      <c r="C84" s="120">
        <f>A40/B56</f>
        <v>0.21999999999999975</v>
      </c>
      <c r="D84" s="120">
        <f>A40/C56</f>
        <v>0.19999999999999976</v>
      </c>
      <c r="E84" s="120">
        <f>A40/D56</f>
        <v>0.1833333333333331</v>
      </c>
      <c r="F84" s="120">
        <f>A40/E56</f>
        <v>0.16923076923076907</v>
      </c>
      <c r="G84" s="120">
        <f>A40/F56</f>
        <v>0.15714285714285697</v>
      </c>
      <c r="H84" s="120">
        <f>A40/G56</f>
        <v>0.1466666666666665</v>
      </c>
      <c r="I84" s="101"/>
    </row>
    <row r="85" spans="1:9" ht="14.25" customHeight="1">
      <c r="A85" s="105"/>
      <c r="B85" s="101"/>
      <c r="C85" s="101"/>
      <c r="D85" s="101"/>
      <c r="E85" s="101"/>
      <c r="F85" s="101"/>
      <c r="G85" s="101"/>
      <c r="H85" s="101"/>
      <c r="I85" s="101"/>
    </row>
    <row r="86" spans="1:9" ht="14.25" customHeight="1">
      <c r="A86" s="105"/>
      <c r="B86" s="101"/>
      <c r="C86" s="101"/>
      <c r="D86" s="101"/>
      <c r="E86" s="101"/>
      <c r="F86" s="101"/>
      <c r="G86" s="101"/>
      <c r="H86" s="101"/>
      <c r="I86" s="101"/>
    </row>
    <row r="87" spans="1:9" ht="14.25" customHeight="1">
      <c r="A87" s="105"/>
      <c r="B87" s="102"/>
      <c r="C87" s="102"/>
      <c r="D87" s="102"/>
      <c r="E87" s="102"/>
      <c r="F87" s="102"/>
      <c r="G87" s="102"/>
      <c r="H87" s="102"/>
      <c r="I87" s="101"/>
    </row>
    <row r="88" spans="1:9" ht="14.25" customHeight="1">
      <c r="A88" s="105"/>
      <c r="B88" s="100">
        <v>2.2000000000000002</v>
      </c>
      <c r="C88" s="120">
        <f>B40/B56</f>
        <v>0.24199999999999977</v>
      </c>
      <c r="D88" s="120">
        <f>B40/C56</f>
        <v>0.21999999999999978</v>
      </c>
      <c r="E88" s="120">
        <f>B40/D56</f>
        <v>0.20166666666666644</v>
      </c>
      <c r="F88" s="120">
        <f>B40/E56</f>
        <v>0.186153846153846</v>
      </c>
      <c r="G88" s="120">
        <f>B40/F56</f>
        <v>0.17285714285714271</v>
      </c>
      <c r="H88" s="120">
        <f>B40/G56</f>
        <v>0.16133333333333319</v>
      </c>
      <c r="I88" s="101"/>
    </row>
    <row r="89" spans="1:9" ht="14.25" customHeight="1">
      <c r="A89" s="105"/>
      <c r="B89" s="101"/>
      <c r="C89" s="101"/>
      <c r="D89" s="101"/>
      <c r="E89" s="101"/>
      <c r="F89" s="101"/>
      <c r="G89" s="101"/>
      <c r="H89" s="101"/>
      <c r="I89" s="101"/>
    </row>
    <row r="90" spans="1:9" ht="14.25" customHeight="1">
      <c r="A90" s="105"/>
      <c r="B90" s="101"/>
      <c r="C90" s="101"/>
      <c r="D90" s="101"/>
      <c r="E90" s="101"/>
      <c r="F90" s="101"/>
      <c r="G90" s="101"/>
      <c r="H90" s="101"/>
      <c r="I90" s="101"/>
    </row>
    <row r="91" spans="1:9" ht="14.25" customHeight="1">
      <c r="A91" s="105"/>
      <c r="B91" s="102"/>
      <c r="C91" s="102"/>
      <c r="D91" s="102"/>
      <c r="E91" s="102"/>
      <c r="F91" s="102"/>
      <c r="G91" s="102"/>
      <c r="H91" s="102"/>
      <c r="I91" s="101"/>
    </row>
    <row r="92" spans="1:9" ht="14.25" customHeight="1">
      <c r="A92" s="105"/>
      <c r="B92" s="100">
        <v>2.2999999999999998</v>
      </c>
      <c r="C92" s="120">
        <f>C40/B56</f>
        <v>0.25299999999999967</v>
      </c>
      <c r="D92" s="120">
        <f>C40/C56</f>
        <v>0.22999999999999968</v>
      </c>
      <c r="E92" s="120">
        <f>C40/D56</f>
        <v>0.21083333333333304</v>
      </c>
      <c r="F92" s="120">
        <f>C40/E56</f>
        <v>0.19461538461538438</v>
      </c>
      <c r="G92" s="120">
        <f>C40/F56</f>
        <v>0.18071428571428549</v>
      </c>
      <c r="H92" s="120">
        <f>C40/G56</f>
        <v>0.16866666666666644</v>
      </c>
      <c r="I92" s="101"/>
    </row>
    <row r="93" spans="1:9" ht="14.25" customHeight="1">
      <c r="A93" s="105"/>
      <c r="B93" s="101"/>
      <c r="C93" s="101"/>
      <c r="D93" s="101"/>
      <c r="E93" s="101"/>
      <c r="F93" s="101"/>
      <c r="G93" s="101"/>
      <c r="H93" s="101"/>
      <c r="I93" s="101"/>
    </row>
    <row r="94" spans="1:9" ht="14.25" customHeight="1">
      <c r="A94" s="105"/>
      <c r="B94" s="101"/>
      <c r="C94" s="101"/>
      <c r="D94" s="101"/>
      <c r="E94" s="101"/>
      <c r="F94" s="101"/>
      <c r="G94" s="101"/>
      <c r="H94" s="101"/>
      <c r="I94" s="101"/>
    </row>
    <row r="95" spans="1:9" ht="14.25" customHeight="1">
      <c r="A95" s="105"/>
      <c r="B95" s="102"/>
      <c r="C95" s="102"/>
      <c r="D95" s="102"/>
      <c r="E95" s="102"/>
      <c r="F95" s="102"/>
      <c r="G95" s="102"/>
      <c r="H95" s="102"/>
      <c r="I95" s="101"/>
    </row>
    <row r="96" spans="1:9" ht="14.25" customHeight="1">
      <c r="A96" s="105"/>
      <c r="B96" s="100">
        <v>2.5</v>
      </c>
      <c r="C96" s="120">
        <f>D40/B56</f>
        <v>0.27499999999999947</v>
      </c>
      <c r="D96" s="120">
        <f>D40/C56</f>
        <v>0.2499999999999995</v>
      </c>
      <c r="E96" s="120">
        <f>D40/D56</f>
        <v>0.22916666666666619</v>
      </c>
      <c r="F96" s="120">
        <f>D40/E56</f>
        <v>0.21153846153846115</v>
      </c>
      <c r="G96" s="120">
        <f>D40/F56</f>
        <v>0.19642857142857106</v>
      </c>
      <c r="H96" s="120">
        <f>D40/G56</f>
        <v>0.18333333333333299</v>
      </c>
      <c r="I96" s="101"/>
    </row>
    <row r="97" spans="1:9" ht="14.25" customHeight="1">
      <c r="A97" s="105"/>
      <c r="B97" s="101"/>
      <c r="C97" s="101"/>
      <c r="D97" s="101"/>
      <c r="E97" s="101"/>
      <c r="F97" s="101"/>
      <c r="G97" s="101"/>
      <c r="H97" s="101"/>
      <c r="I97" s="101"/>
    </row>
    <row r="98" spans="1:9" ht="14.25" customHeight="1">
      <c r="A98" s="105"/>
      <c r="B98" s="101"/>
      <c r="C98" s="101"/>
      <c r="D98" s="101"/>
      <c r="E98" s="101"/>
      <c r="F98" s="101"/>
      <c r="G98" s="101"/>
      <c r="H98" s="101"/>
      <c r="I98" s="101"/>
    </row>
    <row r="99" spans="1:9" ht="14.25" customHeight="1">
      <c r="A99" s="105"/>
      <c r="B99" s="102"/>
      <c r="C99" s="102"/>
      <c r="D99" s="102"/>
      <c r="E99" s="102"/>
      <c r="F99" s="102"/>
      <c r="G99" s="102"/>
      <c r="H99" s="102"/>
      <c r="I99" s="101"/>
    </row>
    <row r="100" spans="1:9" ht="14.25" customHeight="1"/>
    <row r="101" spans="1:9" ht="14.25" customHeight="1"/>
    <row r="102" spans="1:9" ht="14.25" customHeight="1"/>
    <row r="103" spans="1:9" ht="14.25" customHeight="1"/>
    <row r="104" spans="1:9" ht="14.25" customHeight="1"/>
    <row r="105" spans="1:9" ht="14.25" customHeight="1"/>
    <row r="106" spans="1:9" ht="14.25" customHeight="1"/>
    <row r="107" spans="1:9" ht="14.25" customHeight="1"/>
    <row r="108" spans="1:9" ht="14.25" customHeight="1"/>
    <row r="109" spans="1:9" ht="14.25" customHeight="1"/>
    <row r="110" spans="1:9" ht="14.25" customHeight="1"/>
    <row r="111" spans="1:9" ht="14.25" customHeight="1"/>
    <row r="112" spans="1:9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A1:J99" xr:uid="{CF42C6FC-BB05-4927-A365-AFC8F2BF663A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191">
    <mergeCell ref="G92:G95"/>
    <mergeCell ref="H92:H95"/>
    <mergeCell ref="B96:B99"/>
    <mergeCell ref="C96:C99"/>
    <mergeCell ref="D96:D99"/>
    <mergeCell ref="E96:E99"/>
    <mergeCell ref="F96:F99"/>
    <mergeCell ref="G96:G99"/>
    <mergeCell ref="H96:H99"/>
    <mergeCell ref="G84:G87"/>
    <mergeCell ref="H84:H87"/>
    <mergeCell ref="B88:B91"/>
    <mergeCell ref="C88:C91"/>
    <mergeCell ref="D88:D91"/>
    <mergeCell ref="E88:E91"/>
    <mergeCell ref="F88:F91"/>
    <mergeCell ref="G88:G91"/>
    <mergeCell ref="H88:H91"/>
    <mergeCell ref="A84:A99"/>
    <mergeCell ref="B84:B87"/>
    <mergeCell ref="C84:C87"/>
    <mergeCell ref="D84:D87"/>
    <mergeCell ref="E84:E87"/>
    <mergeCell ref="F84:F87"/>
    <mergeCell ref="B92:B95"/>
    <mergeCell ref="C92:C95"/>
    <mergeCell ref="D92:D95"/>
    <mergeCell ref="E92:E95"/>
    <mergeCell ref="F92:F95"/>
    <mergeCell ref="A80:A83"/>
    <mergeCell ref="B80:B83"/>
    <mergeCell ref="C80:C83"/>
    <mergeCell ref="D80:D83"/>
    <mergeCell ref="E80:E83"/>
    <mergeCell ref="F80:F83"/>
    <mergeCell ref="G80:G83"/>
    <mergeCell ref="H80:H83"/>
    <mergeCell ref="B76:B79"/>
    <mergeCell ref="C76:C79"/>
    <mergeCell ref="D76:D79"/>
    <mergeCell ref="E76:E79"/>
    <mergeCell ref="F76:F79"/>
    <mergeCell ref="G76:G79"/>
    <mergeCell ref="B68:B71"/>
    <mergeCell ref="C68:C71"/>
    <mergeCell ref="D68:D71"/>
    <mergeCell ref="E68:E71"/>
    <mergeCell ref="F68:F71"/>
    <mergeCell ref="G68:G71"/>
    <mergeCell ref="H68:H71"/>
    <mergeCell ref="B72:B75"/>
    <mergeCell ref="H76:H79"/>
    <mergeCell ref="G60:G63"/>
    <mergeCell ref="H60:H63"/>
    <mergeCell ref="I60:I99"/>
    <mergeCell ref="A64:A67"/>
    <mergeCell ref="B64:B67"/>
    <mergeCell ref="C64:C67"/>
    <mergeCell ref="D64:D67"/>
    <mergeCell ref="E64:E67"/>
    <mergeCell ref="F64:F67"/>
    <mergeCell ref="G64:G67"/>
    <mergeCell ref="A60:A63"/>
    <mergeCell ref="B60:B63"/>
    <mergeCell ref="C60:C63"/>
    <mergeCell ref="D60:D63"/>
    <mergeCell ref="E60:E63"/>
    <mergeCell ref="F60:F63"/>
    <mergeCell ref="C72:C75"/>
    <mergeCell ref="D72:D75"/>
    <mergeCell ref="E72:E75"/>
    <mergeCell ref="F72:F75"/>
    <mergeCell ref="G72:G75"/>
    <mergeCell ref="H72:H75"/>
    <mergeCell ref="H64:H67"/>
    <mergeCell ref="A68:A79"/>
    <mergeCell ref="G52:G55"/>
    <mergeCell ref="A56:A59"/>
    <mergeCell ref="B56:B59"/>
    <mergeCell ref="C56:C59"/>
    <mergeCell ref="D56:D59"/>
    <mergeCell ref="E56:E59"/>
    <mergeCell ref="F56:F59"/>
    <mergeCell ref="G56:G59"/>
    <mergeCell ref="A52:A55"/>
    <mergeCell ref="B52:B55"/>
    <mergeCell ref="C52:C55"/>
    <mergeCell ref="D52:D55"/>
    <mergeCell ref="E52:E55"/>
    <mergeCell ref="F52:F55"/>
    <mergeCell ref="G44:G47"/>
    <mergeCell ref="A48:A51"/>
    <mergeCell ref="B48:B51"/>
    <mergeCell ref="C48:C51"/>
    <mergeCell ref="D48:D51"/>
    <mergeCell ref="E48:E51"/>
    <mergeCell ref="F48:F51"/>
    <mergeCell ref="G48:G51"/>
    <mergeCell ref="A44:A47"/>
    <mergeCell ref="B44:B47"/>
    <mergeCell ref="C44:C47"/>
    <mergeCell ref="D44:D47"/>
    <mergeCell ref="E44:E47"/>
    <mergeCell ref="F44:F47"/>
    <mergeCell ref="A36:A39"/>
    <mergeCell ref="B36:B39"/>
    <mergeCell ref="C36:C39"/>
    <mergeCell ref="D36:D39"/>
    <mergeCell ref="E36:G43"/>
    <mergeCell ref="A40:A43"/>
    <mergeCell ref="B40:B43"/>
    <mergeCell ref="C40:C43"/>
    <mergeCell ref="D40:D43"/>
    <mergeCell ref="J28:J31"/>
    <mergeCell ref="A28:A31"/>
    <mergeCell ref="B28:B31"/>
    <mergeCell ref="C28:C31"/>
    <mergeCell ref="D28:D31"/>
    <mergeCell ref="E28:E31"/>
    <mergeCell ref="F28:F31"/>
    <mergeCell ref="G28:G31"/>
    <mergeCell ref="H28:H31"/>
    <mergeCell ref="I28:I31"/>
    <mergeCell ref="J20:J23"/>
    <mergeCell ref="A24:A27"/>
    <mergeCell ref="B24:B27"/>
    <mergeCell ref="C24:C27"/>
    <mergeCell ref="D24:D27"/>
    <mergeCell ref="E24:E27"/>
    <mergeCell ref="F24:F27"/>
    <mergeCell ref="G24:G27"/>
    <mergeCell ref="H24:H27"/>
    <mergeCell ref="I24:I27"/>
    <mergeCell ref="J24:J27"/>
    <mergeCell ref="A20:A23"/>
    <mergeCell ref="B20:B23"/>
    <mergeCell ref="C20:C23"/>
    <mergeCell ref="D20:D23"/>
    <mergeCell ref="E20:E23"/>
    <mergeCell ref="F20:F23"/>
    <mergeCell ref="G20:G23"/>
    <mergeCell ref="H20:H23"/>
    <mergeCell ref="I20:I23"/>
    <mergeCell ref="J12:J15"/>
    <mergeCell ref="A16:A19"/>
    <mergeCell ref="B16:B19"/>
    <mergeCell ref="C16:C19"/>
    <mergeCell ref="D16:D19"/>
    <mergeCell ref="E16:E19"/>
    <mergeCell ref="F16:F19"/>
    <mergeCell ref="G16:G19"/>
    <mergeCell ref="H16:H19"/>
    <mergeCell ref="I16:I19"/>
    <mergeCell ref="J16:J19"/>
    <mergeCell ref="A12:A15"/>
    <mergeCell ref="B12:B15"/>
    <mergeCell ref="C12:C15"/>
    <mergeCell ref="D12:D15"/>
    <mergeCell ref="E12:E15"/>
    <mergeCell ref="F12:F15"/>
    <mergeCell ref="G12:G15"/>
    <mergeCell ref="H12:H15"/>
    <mergeCell ref="I12:I15"/>
    <mergeCell ref="J5:J7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H32:H34"/>
    <mergeCell ref="A1:I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B32:B34"/>
    <mergeCell ref="C32:C34"/>
    <mergeCell ref="D32:D34"/>
    <mergeCell ref="E32:E34"/>
    <mergeCell ref="F32:F34"/>
    <mergeCell ref="G32:G34"/>
  </mergeCells>
  <dataValidations count="2">
    <dataValidation type="list" allowBlank="1" showInputMessage="1" showErrorMessage="1" sqref="H35" xr:uid="{81F2642F-CA68-4ABF-96B6-2FFEA730CB55}">
      <formula1>$J$8:$J$19</formula1>
    </dataValidation>
    <dataValidation type="list" allowBlank="1" showInputMessage="1" showErrorMessage="1" sqref="C35" xr:uid="{4FCCACB0-09EA-46E8-89EF-827456CAA2C1}">
      <formula1>$C$8:$C$23</formula1>
    </dataValidation>
  </dataValidations>
  <pageMargins left="0.7" right="0.7" top="0.75" bottom="0.75" header="0" footer="0"/>
  <pageSetup paperSize="9" scale="2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1DF9-A632-4817-B72B-BB1400B6D1C5}">
  <dimension ref="A1:S11"/>
  <sheetViews>
    <sheetView workbookViewId="0">
      <selection activeCell="N12" sqref="N12"/>
    </sheetView>
  </sheetViews>
  <sheetFormatPr defaultColWidth="11" defaultRowHeight="19.2"/>
  <cols>
    <col min="1" max="18" width="11" style="60"/>
    <col min="19" max="19" width="9.109375" style="60" bestFit="1" customWidth="1"/>
    <col min="20" max="16384" width="11" style="60"/>
  </cols>
  <sheetData>
    <row r="1" spans="1:19" ht="27">
      <c r="A1" s="123" t="s">
        <v>67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N1" s="124" t="s">
        <v>68</v>
      </c>
      <c r="O1" s="124"/>
      <c r="P1" s="124"/>
      <c r="R1" s="61" t="s">
        <v>69</v>
      </c>
      <c r="S1" s="61" t="s">
        <v>70</v>
      </c>
    </row>
    <row r="2" spans="1:19">
      <c r="A2" s="62" t="s">
        <v>71</v>
      </c>
      <c r="B2" s="61" t="s">
        <v>72</v>
      </c>
      <c r="C2" s="61" t="s">
        <v>73</v>
      </c>
      <c r="D2" s="61" t="s">
        <v>74</v>
      </c>
      <c r="E2" s="61" t="s">
        <v>75</v>
      </c>
      <c r="F2" s="61" t="s">
        <v>76</v>
      </c>
      <c r="G2" s="61" t="s">
        <v>77</v>
      </c>
      <c r="H2" s="61" t="s">
        <v>78</v>
      </c>
      <c r="I2" s="61" t="s">
        <v>79</v>
      </c>
      <c r="J2" s="61" t="s">
        <v>80</v>
      </c>
      <c r="K2" s="61" t="s">
        <v>81</v>
      </c>
      <c r="L2" s="63" t="s">
        <v>82</v>
      </c>
      <c r="N2" s="62" t="s">
        <v>71</v>
      </c>
      <c r="O2" s="62" t="s">
        <v>69</v>
      </c>
      <c r="P2" s="62" t="s">
        <v>83</v>
      </c>
      <c r="R2" s="61" t="s">
        <v>72</v>
      </c>
      <c r="S2" s="61">
        <v>1</v>
      </c>
    </row>
    <row r="3" spans="1:19">
      <c r="A3" s="62" t="s">
        <v>84</v>
      </c>
      <c r="B3" s="62">
        <v>10</v>
      </c>
      <c r="C3" s="62">
        <f>B3+10</f>
        <v>20</v>
      </c>
      <c r="D3" s="62">
        <f t="shared" ref="D3:K4" si="0">C3+10</f>
        <v>30</v>
      </c>
      <c r="E3" s="62">
        <f t="shared" si="0"/>
        <v>40</v>
      </c>
      <c r="F3" s="62">
        <f t="shared" si="0"/>
        <v>50</v>
      </c>
      <c r="G3" s="62">
        <f t="shared" si="0"/>
        <v>60</v>
      </c>
      <c r="H3" s="62">
        <f t="shared" si="0"/>
        <v>70</v>
      </c>
      <c r="I3" s="62">
        <f t="shared" si="0"/>
        <v>80</v>
      </c>
      <c r="J3" s="62">
        <f t="shared" si="0"/>
        <v>90</v>
      </c>
      <c r="K3" s="62">
        <f t="shared" si="0"/>
        <v>100</v>
      </c>
      <c r="L3" s="64">
        <f>SUM(B3:K3)</f>
        <v>550</v>
      </c>
      <c r="N3" s="62" t="s">
        <v>84</v>
      </c>
      <c r="O3" s="65" t="s">
        <v>81</v>
      </c>
      <c r="P3" s="62">
        <f>B3*VLOOKUP(O3,$R$1:$S$11,2,0)</f>
        <v>550</v>
      </c>
      <c r="R3" s="61" t="s">
        <v>73</v>
      </c>
      <c r="S3" s="61">
        <v>3</v>
      </c>
    </row>
    <row r="4" spans="1:19">
      <c r="A4" s="62" t="s">
        <v>85</v>
      </c>
      <c r="B4" s="62">
        <v>10</v>
      </c>
      <c r="C4" s="62">
        <f>B4+10</f>
        <v>20</v>
      </c>
      <c r="D4" s="62">
        <f t="shared" si="0"/>
        <v>30</v>
      </c>
      <c r="E4" s="62">
        <f t="shared" si="0"/>
        <v>40</v>
      </c>
      <c r="F4" s="62">
        <f t="shared" si="0"/>
        <v>50</v>
      </c>
      <c r="G4" s="62">
        <f t="shared" si="0"/>
        <v>60</v>
      </c>
      <c r="H4" s="62">
        <f t="shared" si="0"/>
        <v>70</v>
      </c>
      <c r="I4" s="62">
        <f t="shared" si="0"/>
        <v>80</v>
      </c>
      <c r="J4" s="62">
        <f t="shared" si="0"/>
        <v>90</v>
      </c>
      <c r="K4" s="62">
        <f t="shared" si="0"/>
        <v>100</v>
      </c>
      <c r="L4" s="64">
        <f t="shared" ref="L4:L9" si="1">SUM(B4:K4)</f>
        <v>550</v>
      </c>
      <c r="N4" s="62" t="s">
        <v>85</v>
      </c>
      <c r="O4" s="65" t="s">
        <v>81</v>
      </c>
      <c r="P4" s="62">
        <f t="shared" ref="P4:P9" si="2">B4*VLOOKUP(O4,$R$1:$S$11,2,0)</f>
        <v>550</v>
      </c>
      <c r="R4" s="61" t="s">
        <v>74</v>
      </c>
      <c r="S4" s="61">
        <v>6</v>
      </c>
    </row>
    <row r="5" spans="1:19">
      <c r="A5" s="62" t="s">
        <v>86</v>
      </c>
      <c r="B5" s="62">
        <v>20</v>
      </c>
      <c r="C5" s="62">
        <f>B5+20</f>
        <v>40</v>
      </c>
      <c r="D5" s="62">
        <f t="shared" ref="D5:K6" si="3">C5+20</f>
        <v>60</v>
      </c>
      <c r="E5" s="62">
        <f t="shared" si="3"/>
        <v>80</v>
      </c>
      <c r="F5" s="62">
        <f t="shared" si="3"/>
        <v>100</v>
      </c>
      <c r="G5" s="62">
        <f t="shared" si="3"/>
        <v>120</v>
      </c>
      <c r="H5" s="62">
        <f t="shared" si="3"/>
        <v>140</v>
      </c>
      <c r="I5" s="62">
        <f t="shared" si="3"/>
        <v>160</v>
      </c>
      <c r="J5" s="62">
        <f t="shared" si="3"/>
        <v>180</v>
      </c>
      <c r="K5" s="62">
        <f t="shared" si="3"/>
        <v>200</v>
      </c>
      <c r="L5" s="64">
        <f t="shared" si="1"/>
        <v>1100</v>
      </c>
      <c r="N5" s="62" t="s">
        <v>86</v>
      </c>
      <c r="O5" s="65" t="s">
        <v>76</v>
      </c>
      <c r="P5" s="62">
        <f t="shared" si="2"/>
        <v>300</v>
      </c>
      <c r="R5" s="61" t="s">
        <v>75</v>
      </c>
      <c r="S5" s="61">
        <v>10</v>
      </c>
    </row>
    <row r="6" spans="1:19">
      <c r="A6" s="62" t="s">
        <v>87</v>
      </c>
      <c r="B6" s="62">
        <v>20</v>
      </c>
      <c r="C6" s="62">
        <f>B6+20</f>
        <v>40</v>
      </c>
      <c r="D6" s="62">
        <f t="shared" si="3"/>
        <v>60</v>
      </c>
      <c r="E6" s="62">
        <f t="shared" si="3"/>
        <v>80</v>
      </c>
      <c r="F6" s="62">
        <f t="shared" si="3"/>
        <v>100</v>
      </c>
      <c r="G6" s="62">
        <f t="shared" si="3"/>
        <v>120</v>
      </c>
      <c r="H6" s="62">
        <f t="shared" si="3"/>
        <v>140</v>
      </c>
      <c r="I6" s="62">
        <f t="shared" si="3"/>
        <v>160</v>
      </c>
      <c r="J6" s="62">
        <f t="shared" si="3"/>
        <v>180</v>
      </c>
      <c r="K6" s="62">
        <f t="shared" si="3"/>
        <v>200</v>
      </c>
      <c r="L6" s="64">
        <f t="shared" si="1"/>
        <v>1100</v>
      </c>
      <c r="N6" s="62" t="s">
        <v>87</v>
      </c>
      <c r="O6" s="65" t="s">
        <v>76</v>
      </c>
      <c r="P6" s="62">
        <f t="shared" si="2"/>
        <v>300</v>
      </c>
      <c r="R6" s="61" t="s">
        <v>76</v>
      </c>
      <c r="S6" s="61">
        <v>15</v>
      </c>
    </row>
    <row r="7" spans="1:19">
      <c r="A7" s="62" t="s">
        <v>88</v>
      </c>
      <c r="B7" s="62">
        <v>30</v>
      </c>
      <c r="C7" s="62">
        <f>B7+30</f>
        <v>60</v>
      </c>
      <c r="D7" s="62">
        <f t="shared" ref="D7:K8" si="4">C7+30</f>
        <v>90</v>
      </c>
      <c r="E7" s="62">
        <f t="shared" si="4"/>
        <v>120</v>
      </c>
      <c r="F7" s="62">
        <f t="shared" si="4"/>
        <v>150</v>
      </c>
      <c r="G7" s="62">
        <f t="shared" si="4"/>
        <v>180</v>
      </c>
      <c r="H7" s="62">
        <f t="shared" si="4"/>
        <v>210</v>
      </c>
      <c r="I7" s="62">
        <f t="shared" si="4"/>
        <v>240</v>
      </c>
      <c r="J7" s="62">
        <f t="shared" si="4"/>
        <v>270</v>
      </c>
      <c r="K7" s="62">
        <f t="shared" si="4"/>
        <v>300</v>
      </c>
      <c r="L7" s="64">
        <f t="shared" si="1"/>
        <v>1650</v>
      </c>
      <c r="N7" s="62" t="s">
        <v>88</v>
      </c>
      <c r="O7" s="65" t="s">
        <v>76</v>
      </c>
      <c r="P7" s="62">
        <f t="shared" si="2"/>
        <v>450</v>
      </c>
      <c r="R7" s="61" t="s">
        <v>77</v>
      </c>
      <c r="S7" s="61">
        <v>21</v>
      </c>
    </row>
    <row r="8" spans="1:19">
      <c r="A8" s="62" t="s">
        <v>89</v>
      </c>
      <c r="B8" s="62">
        <v>30</v>
      </c>
      <c r="C8" s="62">
        <f>B8+30</f>
        <v>60</v>
      </c>
      <c r="D8" s="62">
        <f t="shared" si="4"/>
        <v>90</v>
      </c>
      <c r="E8" s="62">
        <f t="shared" si="4"/>
        <v>120</v>
      </c>
      <c r="F8" s="62">
        <f t="shared" si="4"/>
        <v>150</v>
      </c>
      <c r="G8" s="62">
        <f t="shared" si="4"/>
        <v>180</v>
      </c>
      <c r="H8" s="62">
        <f t="shared" si="4"/>
        <v>210</v>
      </c>
      <c r="I8" s="62">
        <f t="shared" si="4"/>
        <v>240</v>
      </c>
      <c r="J8" s="62">
        <f t="shared" si="4"/>
        <v>270</v>
      </c>
      <c r="K8" s="62">
        <f t="shared" si="4"/>
        <v>300</v>
      </c>
      <c r="L8" s="64">
        <f t="shared" si="1"/>
        <v>1650</v>
      </c>
      <c r="N8" s="62" t="s">
        <v>89</v>
      </c>
      <c r="O8" s="65" t="s">
        <v>76</v>
      </c>
      <c r="P8" s="62">
        <f t="shared" si="2"/>
        <v>450</v>
      </c>
      <c r="R8" s="61" t="s">
        <v>78</v>
      </c>
      <c r="S8" s="61">
        <v>28</v>
      </c>
    </row>
    <row r="9" spans="1:19">
      <c r="A9" s="62" t="s">
        <v>90</v>
      </c>
      <c r="B9" s="62">
        <v>50</v>
      </c>
      <c r="C9" s="62">
        <f>B9+50</f>
        <v>100</v>
      </c>
      <c r="D9" s="62">
        <f t="shared" ref="D9:K9" si="5">C9+50</f>
        <v>150</v>
      </c>
      <c r="E9" s="62">
        <f t="shared" si="5"/>
        <v>200</v>
      </c>
      <c r="F9" s="62">
        <f t="shared" si="5"/>
        <v>250</v>
      </c>
      <c r="G9" s="62">
        <f t="shared" si="5"/>
        <v>300</v>
      </c>
      <c r="H9" s="62">
        <f t="shared" si="5"/>
        <v>350</v>
      </c>
      <c r="I9" s="62">
        <f t="shared" si="5"/>
        <v>400</v>
      </c>
      <c r="J9" s="62">
        <f t="shared" si="5"/>
        <v>450</v>
      </c>
      <c r="K9" s="62">
        <f t="shared" si="5"/>
        <v>500</v>
      </c>
      <c r="L9" s="64">
        <f t="shared" si="1"/>
        <v>2750</v>
      </c>
      <c r="N9" s="62" t="s">
        <v>90</v>
      </c>
      <c r="O9" s="65" t="s">
        <v>117</v>
      </c>
      <c r="P9" s="62">
        <f t="shared" si="2"/>
        <v>50</v>
      </c>
      <c r="R9" s="61" t="s">
        <v>79</v>
      </c>
      <c r="S9" s="61">
        <v>36</v>
      </c>
    </row>
    <row r="10" spans="1:19" ht="24.6">
      <c r="E10" s="66" t="s">
        <v>91</v>
      </c>
      <c r="F10" s="67">
        <f>SUM(B3:F9)</f>
        <v>2550</v>
      </c>
      <c r="K10" s="68" t="s">
        <v>92</v>
      </c>
      <c r="L10" s="69">
        <f>SUM(L3:L9)</f>
        <v>9350</v>
      </c>
      <c r="O10" s="70" t="s">
        <v>93</v>
      </c>
      <c r="P10" s="70">
        <f>SUM(P3:P9)</f>
        <v>2650</v>
      </c>
      <c r="R10" s="61" t="s">
        <v>80</v>
      </c>
      <c r="S10" s="61">
        <v>45</v>
      </c>
    </row>
    <row r="11" spans="1:19">
      <c r="R11" s="61" t="s">
        <v>81</v>
      </c>
      <c r="S11" s="61">
        <v>55</v>
      </c>
    </row>
  </sheetData>
  <mergeCells count="2">
    <mergeCell ref="A1:K1"/>
    <mergeCell ref="N1:P1"/>
  </mergeCells>
  <dataValidations count="1">
    <dataValidation type="list" allowBlank="1" showInputMessage="1" showErrorMessage="1" sqref="O3:O9" xr:uid="{CB93CA79-4A0D-476F-ADEB-0756603984A5}">
      <formula1>$B$2:$K$2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288C-A0A9-4337-97F7-73F765E53CD8}">
  <dimension ref="A1:O15"/>
  <sheetViews>
    <sheetView tabSelected="1" workbookViewId="0">
      <selection activeCell="K9" sqref="K9"/>
    </sheetView>
  </sheetViews>
  <sheetFormatPr defaultColWidth="11" defaultRowHeight="19.2"/>
  <cols>
    <col min="1" max="11" width="11" style="60"/>
    <col min="12" max="12" width="11.21875" style="60" bestFit="1" customWidth="1"/>
    <col min="13" max="16" width="11" style="60"/>
    <col min="17" max="17" width="9.109375" style="60" bestFit="1" customWidth="1"/>
    <col min="18" max="16384" width="11" style="60"/>
  </cols>
  <sheetData>
    <row r="1" spans="1:15" ht="27">
      <c r="A1" s="123" t="s">
        <v>122</v>
      </c>
      <c r="B1" s="123"/>
      <c r="C1" s="123"/>
      <c r="D1" s="123"/>
      <c r="E1" s="123"/>
      <c r="F1" s="123"/>
      <c r="G1" s="123"/>
      <c r="H1" s="123"/>
      <c r="I1" s="123"/>
      <c r="M1" s="124" t="s">
        <v>121</v>
      </c>
      <c r="N1" s="124"/>
    </row>
    <row r="2" spans="1:15">
      <c r="A2" s="62" t="s">
        <v>107</v>
      </c>
      <c r="B2" s="80">
        <v>7.0000000000000007E-2</v>
      </c>
      <c r="C2" s="80">
        <v>0.08</v>
      </c>
      <c r="D2" s="80">
        <v>0.09</v>
      </c>
      <c r="E2" s="80">
        <v>0.1</v>
      </c>
      <c r="K2" s="87"/>
      <c r="M2" s="62" t="s">
        <v>125</v>
      </c>
      <c r="N2" s="61" t="s">
        <v>124</v>
      </c>
    </row>
    <row r="3" spans="1:15">
      <c r="A3" s="62" t="s">
        <v>108</v>
      </c>
      <c r="B3" s="62">
        <v>30</v>
      </c>
      <c r="C3" s="62">
        <v>20</v>
      </c>
      <c r="D3" s="62">
        <v>10</v>
      </c>
      <c r="K3" s="88"/>
      <c r="M3" s="62" t="s">
        <v>107</v>
      </c>
      <c r="N3" s="86">
        <v>0.1</v>
      </c>
      <c r="O3" s="89" t="s">
        <v>120</v>
      </c>
    </row>
    <row r="4" spans="1:15">
      <c r="A4" s="62" t="s">
        <v>109</v>
      </c>
      <c r="B4" s="62">
        <v>50</v>
      </c>
      <c r="K4" s="88"/>
      <c r="M4" s="62" t="s">
        <v>108</v>
      </c>
      <c r="N4" s="86">
        <v>30</v>
      </c>
      <c r="O4" s="89" t="s">
        <v>120</v>
      </c>
    </row>
    <row r="5" spans="1:15">
      <c r="A5" s="62" t="s">
        <v>110</v>
      </c>
      <c r="B5" s="62">
        <v>60</v>
      </c>
      <c r="K5" s="88"/>
      <c r="M5" s="62" t="s">
        <v>109</v>
      </c>
      <c r="N5" s="86">
        <v>50</v>
      </c>
    </row>
    <row r="6" spans="1:15">
      <c r="A6" s="62" t="s">
        <v>111</v>
      </c>
      <c r="B6" s="62">
        <v>20</v>
      </c>
      <c r="K6" s="88"/>
      <c r="M6" s="62" t="s">
        <v>110</v>
      </c>
      <c r="N6" s="86">
        <v>60</v>
      </c>
    </row>
    <row r="7" spans="1:15">
      <c r="A7" s="62" t="s">
        <v>112</v>
      </c>
      <c r="B7" s="62">
        <v>30</v>
      </c>
      <c r="K7" s="88"/>
      <c r="M7" s="62" t="s">
        <v>111</v>
      </c>
      <c r="N7" s="86">
        <v>20</v>
      </c>
    </row>
    <row r="8" spans="1:15">
      <c r="A8" s="62" t="s">
        <v>36</v>
      </c>
      <c r="B8" s="62">
        <v>15</v>
      </c>
      <c r="K8" s="88"/>
      <c r="M8" s="62" t="s">
        <v>112</v>
      </c>
      <c r="N8" s="86">
        <v>30</v>
      </c>
    </row>
    <row r="9" spans="1:15">
      <c r="A9" s="62" t="s">
        <v>113</v>
      </c>
      <c r="B9" s="62">
        <v>45</v>
      </c>
      <c r="C9" s="62">
        <v>30</v>
      </c>
      <c r="D9" s="62">
        <v>15</v>
      </c>
      <c r="K9" s="88"/>
      <c r="M9" s="62" t="s">
        <v>36</v>
      </c>
      <c r="N9" s="86">
        <v>15</v>
      </c>
    </row>
    <row r="10" spans="1:15">
      <c r="A10" s="62" t="s">
        <v>38</v>
      </c>
      <c r="B10" s="62">
        <v>12</v>
      </c>
      <c r="C10" s="62">
        <v>11</v>
      </c>
      <c r="D10" s="62">
        <v>10</v>
      </c>
      <c r="K10" s="88"/>
      <c r="M10" s="62" t="s">
        <v>113</v>
      </c>
      <c r="N10" s="86">
        <v>45</v>
      </c>
      <c r="O10" s="89" t="s">
        <v>120</v>
      </c>
    </row>
    <row r="11" spans="1:15">
      <c r="A11" s="62" t="s">
        <v>115</v>
      </c>
      <c r="B11" s="62">
        <v>30</v>
      </c>
      <c r="C11" s="62">
        <v>32</v>
      </c>
      <c r="D11" s="62">
        <v>15</v>
      </c>
      <c r="E11" s="89" t="s">
        <v>123</v>
      </c>
      <c r="K11" s="88"/>
      <c r="M11" s="62" t="s">
        <v>38</v>
      </c>
      <c r="N11" s="86">
        <v>12</v>
      </c>
      <c r="O11" s="89" t="s">
        <v>120</v>
      </c>
    </row>
    <row r="12" spans="1:15">
      <c r="A12" s="62" t="s">
        <v>114</v>
      </c>
      <c r="B12" s="62">
        <v>7</v>
      </c>
      <c r="C12" s="62">
        <v>0</v>
      </c>
      <c r="M12" s="62" t="s">
        <v>114</v>
      </c>
      <c r="N12" s="86">
        <v>0</v>
      </c>
      <c r="O12" s="89" t="s">
        <v>120</v>
      </c>
    </row>
    <row r="13" spans="1:15">
      <c r="A13" s="62" t="s">
        <v>116</v>
      </c>
      <c r="B13" s="62">
        <v>80</v>
      </c>
      <c r="K13" s="88"/>
      <c r="M13" s="62" t="s">
        <v>115</v>
      </c>
      <c r="N13" s="86">
        <v>30</v>
      </c>
      <c r="O13" s="89" t="s">
        <v>120</v>
      </c>
    </row>
    <row r="14" spans="1:15">
      <c r="A14" s="62" t="s">
        <v>95</v>
      </c>
      <c r="B14" s="62">
        <v>200</v>
      </c>
      <c r="L14" s="89" t="s">
        <v>119</v>
      </c>
      <c r="M14" s="62" t="s">
        <v>116</v>
      </c>
      <c r="N14" s="86">
        <f>IFERROR(VLOOKUP(M14, A13:B15, 2, FALSE), "未找到")</f>
        <v>80</v>
      </c>
    </row>
    <row r="15" spans="1:15">
      <c r="A15" s="62" t="s">
        <v>118</v>
      </c>
      <c r="B15" s="62">
        <v>0</v>
      </c>
      <c r="M15" s="62" t="s">
        <v>60</v>
      </c>
      <c r="N15" s="62">
        <f>SUM(N4:N14)*N3</f>
        <v>37.200000000000003</v>
      </c>
    </row>
  </sheetData>
  <mergeCells count="2">
    <mergeCell ref="A1:I1"/>
    <mergeCell ref="M1:N1"/>
  </mergeCells>
  <dataValidations count="8">
    <dataValidation type="date" allowBlank="1" showInputMessage="1" showErrorMessage="1" sqref="N5:N9" xr:uid="{282926C9-2ADF-4291-BDC4-8709A9058282}">
      <formula1>B4</formula1>
      <formula2>I4</formula2>
    </dataValidation>
    <dataValidation type="list" allowBlank="1" showInputMessage="1" showErrorMessage="1" sqref="N4" xr:uid="{C02A18C2-2A96-4A30-849B-7DC5DE1A70F7}">
      <formula1>$B$3:$D$3</formula1>
    </dataValidation>
    <dataValidation type="list" allowBlank="1" showInputMessage="1" showErrorMessage="1" sqref="N10" xr:uid="{E4AD8D2E-659C-416D-B28F-F9598F137478}">
      <formula1>$B$9:$D$9</formula1>
    </dataValidation>
    <dataValidation type="list" allowBlank="1" showInputMessage="1" showErrorMessage="1" sqref="N11" xr:uid="{9F812B4F-28E6-4DED-A50F-2137EE979BEE}">
      <formula1>$B$10:$D$10</formula1>
    </dataValidation>
    <dataValidation type="list" allowBlank="1" showInputMessage="1" showErrorMessage="1" sqref="N13" xr:uid="{8C263E1C-49C6-4E9E-9868-54984880680A}">
      <formula1>$B$11:$D$11</formula1>
    </dataValidation>
    <dataValidation type="list" allowBlank="1" showInputMessage="1" showErrorMessage="1" sqref="M14" xr:uid="{2AB0F178-FF3D-4AC8-83DE-836776D0C5EB}">
      <formula1>$A$13:$A$15</formula1>
    </dataValidation>
    <dataValidation type="list" allowBlank="1" showInputMessage="1" showErrorMessage="1" sqref="N12" xr:uid="{9ACAEED1-C318-49C6-8B24-4AFFDFB9A5E2}">
      <formula1>$B$12:$C$12</formula1>
    </dataValidation>
    <dataValidation type="list" allowBlank="1" showInputMessage="1" showErrorMessage="1" sqref="N3" xr:uid="{BAD9FC74-2FD1-4B45-BB35-E2D615B257A3}">
      <formula1>$B$2:$E$2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新配裝表</vt:lpstr>
      <vt:lpstr>手</vt:lpstr>
      <vt:lpstr>身</vt:lpstr>
      <vt:lpstr>腳</vt:lpstr>
      <vt:lpstr>腰</vt:lpstr>
      <vt:lpstr>頭</vt:lpstr>
      <vt:lpstr>項鍊</vt:lpstr>
      <vt:lpstr>戒指</vt:lpstr>
      <vt:lpstr>攻速</vt:lpstr>
      <vt:lpstr>记忆碎片</vt:lpstr>
      <vt:lpstr>速鞋计算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張育豪</dc:creator>
  <cp:lastModifiedBy>nelson hoo</cp:lastModifiedBy>
  <dcterms:created xsi:type="dcterms:W3CDTF">2015-06-05T18:19:34Z</dcterms:created>
  <dcterms:modified xsi:type="dcterms:W3CDTF">2025-08-05T07:34:13Z</dcterms:modified>
</cp:coreProperties>
</file>